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BACKUP - INGRID ZULEY\1. DOCUMENTOS INGRID ZULEY PALACIOS\1. INVERSION PÚBLICA\FORMATOS\FORMATOS\Ajustes 17.06.2025\"/>
    </mc:Choice>
  </mc:AlternateContent>
  <xr:revisionPtr revIDLastSave="0" documentId="8_{590A98F3-A63C-4E30-996C-AAD0292B31E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Ppto General" sheetId="1" r:id="rId1"/>
    <sheet name="Historico de Modificaciones" sheetId="3" r:id="rId2"/>
  </sheets>
  <externalReferences>
    <externalReference r:id="rId3"/>
    <externalReference r:id="rId4"/>
    <externalReference r:id="rId5"/>
  </externalReferences>
  <definedNames>
    <definedName name="_xlnm.Print_Area" localSheetId="1">'Historico de Modificaciones'!$A$1:$M$32</definedName>
    <definedName name="_xlnm.Print_Area" localSheetId="0">'Ppto General'!$A$1:$M$53</definedName>
    <definedName name="CENTROGESTOR">#REF!</definedName>
    <definedName name="CENTROGESTORDEPENDENCIA">#REF!</definedName>
    <definedName name="DEPENDENCIA">#REF!</definedName>
    <definedName name="FONDO">#REF!</definedName>
    <definedName name="FONDOS">[1]MYLIST!$C$2:$C$126</definedName>
    <definedName name="FUT">#REF!</definedName>
    <definedName name="k">'[2]LISTA MPD'!$C$2:$C$18</definedName>
    <definedName name="METAAFPDCC">#REF!</definedName>
    <definedName name="METAPDCC">#REF!</definedName>
    <definedName name="METASAFPDCC">#REF!</definedName>
    <definedName name="METASAFPDM">#REF!</definedName>
    <definedName name="METASPDCC">#REF!</definedName>
    <definedName name="METASPDM">'[3]LISTA MPD'!$A$2:$A$616</definedName>
    <definedName name="POSPRE">#REF!</definedName>
    <definedName name="_xlnm.Print_Titles" localSheetId="1">'Historico de Modificaciones'!$A:$K,'Historico de Modificaciones'!$5:$10</definedName>
    <definedName name="_xlnm.Print_Titles" localSheetId="0">'Ppto General'!$A:$K,'Ppto General'!$5:$11</definedName>
  </definedNames>
  <calcPr calcId="181029"/>
  <extLst>
    <ext uri="GoogleSheetsCustomDataVersion1">
      <go:sheetsCustomData xmlns:go="http://customooxmlschemas.google.com/" r:id="rId7" roundtripDataSignature="AMtx7miUCyeZhCTbjeT6Ov7bIZa43ylNfQ=="/>
    </ext>
  </extLst>
</workbook>
</file>

<file path=xl/calcChain.xml><?xml version="1.0" encoding="utf-8"?>
<calcChain xmlns="http://schemas.openxmlformats.org/spreadsheetml/2006/main">
  <c r="B8" i="3" l="1"/>
  <c r="K26" i="3"/>
  <c r="J26" i="3"/>
  <c r="I26" i="3"/>
  <c r="H26" i="3"/>
  <c r="G26" i="3"/>
  <c r="F26" i="3"/>
  <c r="E26" i="3"/>
  <c r="D26" i="3"/>
  <c r="M25" i="3"/>
  <c r="M24" i="3"/>
  <c r="M20" i="3"/>
  <c r="M17" i="3"/>
  <c r="M16" i="3"/>
  <c r="M26" i="1"/>
  <c r="M13" i="3"/>
  <c r="M14" i="3"/>
  <c r="M15" i="3"/>
  <c r="M18" i="3"/>
  <c r="M19" i="3"/>
  <c r="M21" i="3"/>
  <c r="M22" i="3"/>
  <c r="M23" i="3"/>
  <c r="C26" i="3"/>
  <c r="L26" i="3"/>
  <c r="M7" i="3"/>
  <c r="L7" i="3"/>
  <c r="B7" i="3"/>
  <c r="B6" i="3"/>
  <c r="L26" i="1"/>
  <c r="M12" i="3" l="1"/>
  <c r="M26" i="3" s="1"/>
  <c r="K26" i="1"/>
</calcChain>
</file>

<file path=xl/sharedStrings.xml><?xml version="1.0" encoding="utf-8"?>
<sst xmlns="http://schemas.openxmlformats.org/spreadsheetml/2006/main" count="102" uniqueCount="70">
  <si>
    <t>PRODUCTO MGA</t>
  </si>
  <si>
    <t xml:space="preserve">CÓDIGO </t>
  </si>
  <si>
    <t>CANTIDAD</t>
  </si>
  <si>
    <t>CADENA DE VALOR PROYECTO</t>
  </si>
  <si>
    <t>Subtotal Proyecto</t>
  </si>
  <si>
    <t>OBJETIVOS ESPECÍFICOS</t>
  </si>
  <si>
    <t>CCPT-CLASIFICACION CENTRAL PRODUCTO - DANE  (CUENTA GASTO)</t>
  </si>
  <si>
    <t>UNIDAD DE MEDIDA</t>
  </si>
  <si>
    <t>NOMBRE CUENTA</t>
  </si>
  <si>
    <t>NOMBRE DEL PROYECTO:</t>
  </si>
  <si>
    <t>ENTIDAD / DEPENDENCIA</t>
  </si>
  <si>
    <t>VIGENCIA</t>
  </si>
  <si>
    <t>CÓDIGO PI:</t>
  </si>
  <si>
    <t>CÓDIGO BPIN:</t>
  </si>
  <si>
    <t>PRESUPUESTO DETALLADO DEL PROYECTO DE INVERSIÓN</t>
  </si>
  <si>
    <t>Página 1 de 1</t>
  </si>
  <si>
    <t>RECURSOS DE GESTIÓN</t>
  </si>
  <si>
    <t>Nombre Completo:</t>
  </si>
  <si>
    <t>Datos del Formulador</t>
  </si>
  <si>
    <t xml:space="preserve">Cargo: </t>
  </si>
  <si>
    <t>Firma del formulador:</t>
  </si>
  <si>
    <t>FUENTE DE FINANCIACIÓN</t>
  </si>
  <si>
    <t>Fecha:</t>
  </si>
  <si>
    <t>TIPO DE MODIFICACIÓN</t>
  </si>
  <si>
    <t>VoBo Director, Secretario de Despacho o Gerente de la Entidad</t>
  </si>
  <si>
    <t>VALOR TOTAL DEL PROYECTO</t>
  </si>
  <si>
    <t>VALOR DE LA MODIFICACIÓN</t>
  </si>
  <si>
    <t>PRESUPUESTO INICIAL</t>
  </si>
  <si>
    <t>MODIFICACIÓN 1</t>
  </si>
  <si>
    <t>ACTVIDAD</t>
  </si>
  <si>
    <t>(DD-MM)</t>
  </si>
  <si>
    <t>MODIFICACIÓN 2</t>
  </si>
  <si>
    <t>MODIFICACIÓN 3</t>
  </si>
  <si>
    <t>MODIFICACIÓN 4</t>
  </si>
  <si>
    <t>MODIFICACIÓN 5</t>
  </si>
  <si>
    <t>MODIFICACIÓN 6</t>
  </si>
  <si>
    <t>MODIFICACIÓN 7</t>
  </si>
  <si>
    <t>VALOR TOTALDEL PROYECTO</t>
  </si>
  <si>
    <t>MODIFICACIÓN 8</t>
  </si>
  <si>
    <t>PRESUPUESTO</t>
  </si>
  <si>
    <t>NOTA: Para tener la trazabilidad de modificaciones, es importante y obligatorio que diligencien la pestaña "Historico de Modificaciones" y sea cargado este archivo en SAP, dentro de la carpeta "Presupuesto"</t>
  </si>
  <si>
    <t>Elaboró</t>
  </si>
  <si>
    <t>Revisó</t>
  </si>
  <si>
    <t>Aprobó</t>
  </si>
  <si>
    <t>Firma:</t>
  </si>
  <si>
    <t>ACTIVIDAD DEL PROYECTO</t>
  </si>
  <si>
    <t>ENTREGABLE EN MGA 
(APLICA SOLO PARA PROYECTOS CON EDT)</t>
  </si>
  <si>
    <t>RECURSOS POR GESTIONAR / ASIGNAR</t>
  </si>
  <si>
    <r>
      <t xml:space="preserve">VALOR DE LA ACTIVIDAD APROPIADOS 
</t>
    </r>
    <r>
      <rPr>
        <b/>
        <sz val="8"/>
        <rFont val="Arial"/>
        <family val="2"/>
      </rPr>
      <t xml:space="preserve">
(DEPTO O PROPIOS DE DESCENTRALIZADA)</t>
    </r>
  </si>
  <si>
    <r>
      <t xml:space="preserve">VALOR DE LA ACTIVIDAD 
</t>
    </r>
    <r>
      <rPr>
        <b/>
        <sz val="8"/>
        <rFont val="Arial"/>
        <family val="2"/>
      </rPr>
      <t>(APLICA PARA RECURSOS NACIÓN)</t>
    </r>
  </si>
  <si>
    <t>ID MGA O CÓDIGO BPIN:</t>
  </si>
  <si>
    <t>Versión: 02</t>
  </si>
  <si>
    <t>CONTROL DE CAMBIOS</t>
  </si>
  <si>
    <t>Versión</t>
  </si>
  <si>
    <t>Descripción del Cambio</t>
  </si>
  <si>
    <t>Fecha</t>
  </si>
  <si>
    <t>Corresponde a la creación del Documento</t>
  </si>
  <si>
    <t>Se agregó la columna“Recursos de Entidad Descentralizada” se ajustó la redacción de las columnas J, K y L para mayor claridad, en atención a las observaciones realizadas por el equipo de la Subdirección de Inversión Pública durante las mesas de trabajo sobre revisión de formatos, Procedimientos y adecuación a la nueva Plataforma Integrada de Inversión Pública (PIIP).</t>
  </si>
  <si>
    <r>
      <t>Código</t>
    </r>
    <r>
      <rPr>
        <b/>
        <sz val="10"/>
        <color theme="1"/>
        <rFont val="Arial"/>
        <family val="2"/>
      </rPr>
      <t xml:space="preserve">: </t>
    </r>
    <r>
      <rPr>
        <sz val="10"/>
        <color theme="1"/>
        <rFont val="Arial"/>
        <family val="2"/>
      </rPr>
      <t>FO-M1-P1-24</t>
    </r>
  </si>
  <si>
    <r>
      <t xml:space="preserve">Nombres: </t>
    </r>
    <r>
      <rPr>
        <sz val="10"/>
        <color rgb="FF000000"/>
        <rFont val="Arial"/>
        <family val="2"/>
      </rPr>
      <t>Profesionales Subdirección de Inversión Pública</t>
    </r>
  </si>
  <si>
    <r>
      <t xml:space="preserve">Nombre:  </t>
    </r>
    <r>
      <rPr>
        <sz val="10"/>
        <color rgb="FF000000"/>
        <rFont val="Arial"/>
        <family val="2"/>
      </rPr>
      <t>Diego Felipe Bustamante A., Lina María Sarria Duarte, Yolanda Urbano Rodriguez</t>
    </r>
  </si>
  <si>
    <r>
      <t>Cargo:</t>
    </r>
    <r>
      <rPr>
        <sz val="10"/>
        <color theme="1"/>
        <rFont val="Arial"/>
        <family val="2"/>
      </rPr>
      <t xml:space="preserve">  Profesional Universitario y especializado</t>
    </r>
  </si>
  <si>
    <r>
      <t xml:space="preserve">Cargo: </t>
    </r>
    <r>
      <rPr>
        <sz val="10"/>
        <color rgb="FF000000"/>
        <rFont val="Arial"/>
        <family val="2"/>
      </rPr>
      <t xml:space="preserve">Subdirector Ordenamiento y Desarrollo Regional 
Subdirectora de Inversión Pública
Líder Profesional Especializada Líder del Proceso </t>
    </r>
  </si>
  <si>
    <r>
      <t xml:space="preserve">Fecha: : </t>
    </r>
    <r>
      <rPr>
        <sz val="10"/>
        <color theme="1"/>
        <rFont val="Arial"/>
        <family val="2"/>
      </rPr>
      <t>15/05/2025</t>
    </r>
  </si>
  <si>
    <r>
      <t>Fecha:</t>
    </r>
    <r>
      <rPr>
        <sz val="10"/>
        <color theme="1"/>
        <rFont val="Arial"/>
        <family val="2"/>
      </rPr>
      <t xml:space="preserve"> 15/05/2025</t>
    </r>
  </si>
  <si>
    <r>
      <t xml:space="preserve">Fecha: </t>
    </r>
    <r>
      <rPr>
        <sz val="10"/>
        <color theme="1"/>
        <rFont val="Arial"/>
        <family val="2"/>
      </rPr>
      <t>15/05/2025</t>
    </r>
  </si>
  <si>
    <r>
      <t xml:space="preserve">Fecha: </t>
    </r>
    <r>
      <rPr>
        <sz val="10"/>
        <color theme="1"/>
        <rFont val="Arial"/>
        <family val="2"/>
      </rPr>
      <t>13/06/2025</t>
    </r>
  </si>
  <si>
    <t xml:space="preserve">Mesa de Trabajo con el proceso M1-P3 Administración del MIPG
Acta No. 020 del 13/06/2025
</t>
  </si>
  <si>
    <t>Fecha de aprobación:  13/06/2025</t>
  </si>
  <si>
    <t>Fecha de aprobación: 13/06/2025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</si>
</sst>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* #,##0.00_-;\-&quot;$&quot;* #,##0.00_-;_-&quot;$&quot;* &quot;-&quot;??_-;_-@_-"/>
  </numFmts>
  <fonts count="2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rgb="FF0070C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1" fillId="0" borderId="1"/>
    <xf numFmtId="165" fontId="1" fillId="0" borderId="1" applyFon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2" fillId="3" borderId="0" xfId="0" applyFont="1" applyFill="1"/>
    <xf numFmtId="0" fontId="7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9" fillId="4" borderId="2" xfId="0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2" fillId="3" borderId="0" xfId="0" applyNumberFormat="1" applyFont="1" applyFill="1"/>
    <xf numFmtId="49" fontId="2" fillId="0" borderId="0" xfId="0" applyNumberFormat="1" applyFont="1"/>
    <xf numFmtId="49" fontId="2" fillId="0" borderId="2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0" fontId="13" fillId="3" borderId="0" xfId="0" applyFont="1" applyFill="1"/>
    <xf numFmtId="0" fontId="2" fillId="3" borderId="1" xfId="0" applyFont="1" applyFill="1" applyBorder="1"/>
    <xf numFmtId="49" fontId="2" fillId="3" borderId="1" xfId="0" applyNumberFormat="1" applyFont="1" applyFill="1" applyBorder="1"/>
    <xf numFmtId="0" fontId="7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49" fontId="12" fillId="3" borderId="0" xfId="0" applyNumberFormat="1" applyFont="1" applyFill="1"/>
    <xf numFmtId="0" fontId="16" fillId="3" borderId="0" xfId="0" applyFont="1" applyFill="1"/>
    <xf numFmtId="0" fontId="11" fillId="4" borderId="2" xfId="0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vertical="center"/>
    </xf>
    <xf numFmtId="0" fontId="15" fillId="3" borderId="15" xfId="0" applyFont="1" applyFill="1" applyBorder="1" applyAlignment="1">
      <alignment vertical="center"/>
    </xf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14" fontId="21" fillId="0" borderId="2" xfId="0" applyNumberFormat="1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2" fillId="7" borderId="11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22" fillId="7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49" fontId="11" fillId="4" borderId="13" xfId="0" applyNumberFormat="1" applyFont="1" applyFill="1" applyBorder="1" applyAlignment="1">
      <alignment horizontal="center" vertical="center" wrapText="1"/>
    </xf>
    <xf numFmtId="49" fontId="11" fillId="4" borderId="14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</cellXfs>
  <cellStyles count="4">
    <cellStyle name="Moneda" xfId="1" builtinId="4"/>
    <cellStyle name="Mon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43545</xdr:colOff>
      <xdr:row>0</xdr:row>
      <xdr:rowOff>240196</xdr:rowOff>
    </xdr:from>
    <xdr:to>
      <xdr:col>0</xdr:col>
      <xdr:colOff>1979543</xdr:colOff>
      <xdr:row>3</xdr:row>
      <xdr:rowOff>99391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D3D753-3328-8089-4F1F-79E54EE6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5" y="240196"/>
          <a:ext cx="1935998" cy="604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</xdr:colOff>
      <xdr:row>0</xdr:row>
      <xdr:rowOff>122465</xdr:rowOff>
    </xdr:from>
    <xdr:to>
      <xdr:col>0</xdr:col>
      <xdr:colOff>2004033</xdr:colOff>
      <xdr:row>2</xdr:row>
      <xdr:rowOff>237238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79DD1B-714C-4B39-97A5-4F5D0239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" y="122465"/>
          <a:ext cx="1935998" cy="604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Mariela\AppData\Local\Temp\Users\Ana%20Maria\Desktop\ANEXOS%20POAI%202010%20-%20PROPUESTA%20INICIAL%20AJUSTADA\Documents%20and%20Settings\Wvillota.EDUCACION\Mis%20documentos\COPIA%20ENTREGA%20PLANEACION%20PAOI%202010%20AGOST%2025-09\DATA%202010%20EDUCACION\DATA%202010%20?E42F03EF" TargetMode="External"/><Relationship Id="rId1" Type="http://schemas.openxmlformats.org/officeDocument/2006/relationships/externalLinkPath" Target="file:///\\E42F03EF\DATA%202010%2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BAJO/Plan%20Integral%20de%20Movilidad%20Urbana%20Cali/Administrativo/Banco%20de%20Proyectos/Proyectos%202016-2019/Actualizaci&#243;n%20del%20Plan%20Integral%20de%20Movilidad%20Urbana%20Para%20Cali/17046058_PIMU_v4_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TRIC~1\AppData\Local\Temp\4.%20PLANTILLA%20EJEMPLO%20ANEXO%20PPTO%20POAI%202015%20AJUST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IR_OBJETO_FUENTE"/>
      <sheetName val="INTRODUCIR_CCPD"/>
      <sheetName val="MYLIST"/>
      <sheetName val="INTRODUCIR_OBJETO"/>
      <sheetName val="Hoja2"/>
      <sheetName val="Listados"/>
    </sheetNames>
    <sheetDataSet>
      <sheetData sheetId="0"/>
      <sheetData sheetId="1"/>
      <sheetData sheetId="2" refreshError="1">
        <row r="2">
          <cell r="C2" t="str">
            <v xml:space="preserve"> - RECURSOS DE LIBRE ASIGNACION</v>
          </cell>
        </row>
        <row r="3">
          <cell r="C3" t="str">
            <v>1101 - Libre asignacion</v>
          </cell>
        </row>
        <row r="4">
          <cell r="C4" t="str">
            <v xml:space="preserve"> - RECURSOS PROPIOS CON DESTINACION ESPECIFICA</v>
          </cell>
        </row>
        <row r="5">
          <cell r="C5" t="str">
            <v>1201 - Saneamiento Fiscal</v>
          </cell>
        </row>
        <row r="6">
          <cell r="C6" t="str">
            <v>1202 - Sobretasa ambiental c.v.c</v>
          </cell>
        </row>
        <row r="7">
          <cell r="C7" t="str">
            <v>1203 - Otros Recursos Ley 99/93</v>
          </cell>
        </row>
        <row r="8">
          <cell r="C8" t="str">
            <v>1204 - Otros conceptos ambientales</v>
          </cell>
        </row>
        <row r="9">
          <cell r="C9" t="str">
            <v>1205 - Sobretasa Gasol. Infraestructura Vial</v>
          </cell>
        </row>
        <row r="10">
          <cell r="C10" t="str">
            <v>1206 - Sobretasa Gasol malla vial</v>
          </cell>
        </row>
        <row r="11">
          <cell r="C11" t="str">
            <v>1207 - Sobretasa Gasol transversal 103</v>
          </cell>
        </row>
        <row r="12">
          <cell r="C12" t="str">
            <v>1208 - Cuerpo de Bomberos Voluntarios</v>
          </cell>
        </row>
        <row r="13">
          <cell r="C13" t="str">
            <v>1209 - contribucion y recargos valorización</v>
          </cell>
        </row>
        <row r="14">
          <cell r="C14" t="str">
            <v>1210 - infracciones de transito ley 769-02</v>
          </cell>
        </row>
        <row r="15">
          <cell r="C15" t="str">
            <v>1211 - Contrib. Fdo. Especial de Intervenidas</v>
          </cell>
        </row>
        <row r="16">
          <cell r="C16" t="str">
            <v>1212 - Tasa prodeporte</v>
          </cell>
        </row>
        <row r="17">
          <cell r="C17" t="str">
            <v>1213 - estampilla procultura</v>
          </cell>
        </row>
        <row r="18">
          <cell r="C18" t="str">
            <v>1214 - alumbrado publico/semaforización</v>
          </cell>
        </row>
        <row r="19">
          <cell r="C19" t="str">
            <v>1215 - Otras rentas de salud</v>
          </cell>
        </row>
        <row r="20">
          <cell r="C20" t="str">
            <v>1216 - recursos teatro municipal</v>
          </cell>
        </row>
        <row r="21">
          <cell r="C21" t="str">
            <v>1217 - Concesión aprovechamiento aguas subterraneas</v>
          </cell>
        </row>
        <row r="22">
          <cell r="C22" t="str">
            <v>1218 - concesion amoblamiento urbano-intervent.</v>
          </cell>
        </row>
        <row r="23">
          <cell r="C23" t="str">
            <v>1219 - FEMS 31%</v>
          </cell>
        </row>
        <row r="24">
          <cell r="C24" t="str">
            <v>1220 - Tasa Retributiva</v>
          </cell>
        </row>
        <row r="25">
          <cell r="C25" t="str">
            <v>1223 - Rifas y Clubes</v>
          </cell>
        </row>
        <row r="26">
          <cell r="C26" t="str">
            <v>1224 - FEMS 69%</v>
          </cell>
        </row>
        <row r="27">
          <cell r="C27" t="str">
            <v>1225 - FEMS 30%</v>
          </cell>
        </row>
        <row r="28">
          <cell r="C28" t="str">
            <v>1226 - FEMS 1%</v>
          </cell>
        </row>
        <row r="29">
          <cell r="C29" t="str">
            <v>1227 - cuota parte pensional</v>
          </cell>
        </row>
        <row r="30">
          <cell r="C30" t="str">
            <v>1228 - fondo servicios docentes</v>
          </cell>
        </row>
        <row r="31">
          <cell r="C31" t="str">
            <v>1229 - Est. Prodesa-fondo pensiones</v>
          </cell>
        </row>
        <row r="32">
          <cell r="C32" t="str">
            <v>1230 - Venta Activos-FONPET</v>
          </cell>
        </row>
        <row r="33">
          <cell r="C33" t="str">
            <v>1231 - Venta servicios Salud-Zoonosis</v>
          </cell>
        </row>
        <row r="34">
          <cell r="C34" t="str">
            <v>1232 - Estratificacion socio economica-Ley 505</v>
          </cell>
        </row>
        <row r="35">
          <cell r="C35" t="str">
            <v>1233 - tasa utilizacion aguas subterraneas-ley 99-93</v>
          </cell>
        </row>
        <row r="36">
          <cell r="C36" t="str">
            <v>1234 - Sobretasa Bomberil</v>
          </cell>
        </row>
        <row r="37">
          <cell r="C37" t="str">
            <v>1235 - Ctto  No. 088-06-Cultura</v>
          </cell>
        </row>
        <row r="38">
          <cell r="C38" t="str">
            <v>1236 - excedentes Entidad Adaptada salud</v>
          </cell>
        </row>
        <row r="39">
          <cell r="C39" t="str">
            <v>1237 - Devolución aportes pensión-ISS</v>
          </cell>
        </row>
        <row r="40">
          <cell r="C40" t="str">
            <v>1238 - Derechos de Mantenimiento y Supervision</v>
          </cell>
        </row>
        <row r="41">
          <cell r="C41" t="str">
            <v xml:space="preserve">1239 - Contribución especial </v>
          </cell>
        </row>
        <row r="42">
          <cell r="C42" t="str">
            <v>1240 - Excedentes financieros de las ESES</v>
          </cell>
        </row>
        <row r="43">
          <cell r="C43" t="str">
            <v>1241 - Recursos propios-fondo de contingencias</v>
          </cell>
        </row>
        <row r="44">
          <cell r="C44" t="str">
            <v>1242 - Recursos de Cofinanciacion-saldos</v>
          </cell>
        </row>
        <row r="45">
          <cell r="C45" t="str">
            <v>1243 - Impuesto de telefonos</v>
          </cell>
        </row>
        <row r="46">
          <cell r="C46" t="str">
            <v>1244 - Acuerdo 218-07-seguridad Vial</v>
          </cell>
        </row>
        <row r="47">
          <cell r="C47" t="str">
            <v>1245 - Recursos Propios - Vivienda (Recuperación Cartera)</v>
          </cell>
        </row>
        <row r="48">
          <cell r="C48" t="str">
            <v>1246 - Reintegro - Liquidacion F.F.E.</v>
          </cell>
        </row>
        <row r="49">
          <cell r="C49" t="str">
            <v>1247 - Excedentes EMCALI</v>
          </cell>
        </row>
        <row r="50">
          <cell r="C50" t="str">
            <v>1248 - Venta de Activos Valorizacion</v>
          </cell>
        </row>
        <row r="51">
          <cell r="C51" t="str">
            <v>1249 - Festival del video Ambiental CVC</v>
          </cell>
        </row>
        <row r="52">
          <cell r="C52" t="str">
            <v xml:space="preserve"> - RECURSOS DEL SISTEMA GENERAL DE PARTICIPACIONES</v>
          </cell>
        </row>
        <row r="53">
          <cell r="C53" t="str">
            <v>2101 - S.G.P. Sector Educación-Prestación Servicios</v>
          </cell>
        </row>
        <row r="54">
          <cell r="C54" t="str">
            <v>2102 - S.G.P. Sector Educación-Cobertura</v>
          </cell>
        </row>
        <row r="55">
          <cell r="C55" t="str">
            <v>2103 - S.G.P. Sector Educación-Sin situación de Fondos</v>
          </cell>
        </row>
        <row r="56">
          <cell r="C56" t="str">
            <v>2104 - S.G.P. Sector Educación-Calidad</v>
          </cell>
        </row>
        <row r="57">
          <cell r="C57" t="str">
            <v>2111 - S.G.P.12/12 Sector Educación-Prestación Servicios</v>
          </cell>
        </row>
        <row r="58">
          <cell r="C58" t="str">
            <v>2112 - S.G.P.12/12 Sector Educación-Cobertura</v>
          </cell>
        </row>
        <row r="59">
          <cell r="C59" t="str">
            <v>2113 - S.G.P.12/12 Sector Educación-Sin situación de Fondos</v>
          </cell>
        </row>
        <row r="60">
          <cell r="C60" t="str">
            <v>2114 - S.G.P. 12/12 Sector Educación-Calidad</v>
          </cell>
        </row>
        <row r="61">
          <cell r="C61" t="str">
            <v>2201 - S.G.P- salud- subsidio demanda continuidad</v>
          </cell>
        </row>
        <row r="62">
          <cell r="C62" t="str">
            <v>2202 - S.G.P- salud- subsidio demanda ampliacion cobertura</v>
          </cell>
        </row>
        <row r="63">
          <cell r="C63" t="str">
            <v>2203 - S.G.P. Sector Salud-Prestacion a poblacion no afiliada</v>
          </cell>
        </row>
        <row r="64">
          <cell r="C64" t="str">
            <v>2204 - S.G.P. Sector Salud-Salud Pública-PAB</v>
          </cell>
        </row>
        <row r="65">
          <cell r="C65" t="str">
            <v>2205 - S.G.P. Sector Salud-Sin situacion de Fondos</v>
          </cell>
        </row>
        <row r="66">
          <cell r="C66" t="str">
            <v>2211 - S.G.P- 12/12 salud- subsidio demanda continuidad</v>
          </cell>
        </row>
        <row r="67">
          <cell r="C67" t="str">
            <v>2212 - S.G.P- 12/12 salud- sub demanda ampliac.cobertura</v>
          </cell>
        </row>
        <row r="68">
          <cell r="C68" t="str">
            <v>2213 - S.G.P. 12/12 Sector Salud-Prestacion a poblacion no afiliada</v>
          </cell>
        </row>
        <row r="69">
          <cell r="C69" t="str">
            <v>2214 - S.G.P.12/12  Sector Salud-Salud Pública-PAB</v>
          </cell>
        </row>
        <row r="70">
          <cell r="C70" t="str">
            <v>2215 - S.G.P.12/12  Sector Salud-Sin situacion de Fondos</v>
          </cell>
        </row>
        <row r="71">
          <cell r="C71" t="str">
            <v>2301 - S.G.P. Proposito General-Agua Potable y Saneam. Bas.</v>
          </cell>
        </row>
        <row r="72">
          <cell r="C72" t="str">
            <v>2302 - S.G.P. Proposito General-Otros Sectores</v>
          </cell>
        </row>
        <row r="73">
          <cell r="C73" t="str">
            <v>2303 - S.G.P. Proposito General-Deporte</v>
          </cell>
        </row>
        <row r="74">
          <cell r="C74" t="str">
            <v>2304 - S.G.P. Proposito General-Cultura</v>
          </cell>
        </row>
        <row r="75">
          <cell r="C75" t="str">
            <v>2305 - S.G.P. Proposito General-Sin situac. Fondos</v>
          </cell>
        </row>
        <row r="76">
          <cell r="C76" t="str">
            <v>2306 - S.P.G. Proposito General - Educ y Atencion Integral de la Primera Infancia</v>
          </cell>
        </row>
        <row r="77">
          <cell r="C77" t="str">
            <v>2311 - S.G.P. 12/12 Proposito General-Agua Potable y Saneam. Bas.</v>
          </cell>
        </row>
        <row r="78">
          <cell r="C78" t="str">
            <v>2312 - S.G.P.12/12  Proposito General-Otros Sectores</v>
          </cell>
        </row>
        <row r="79">
          <cell r="C79" t="str">
            <v>2313 - S.G.P.12/12  Proposito General-Deporte</v>
          </cell>
        </row>
        <row r="80">
          <cell r="C80" t="str">
            <v>2314 - S.G.P. 12/12 Proposito General-Cultura</v>
          </cell>
        </row>
        <row r="81">
          <cell r="C81" t="str">
            <v>2315 - S.G.P. 12/12 Proposito General-Sin situac. Fondos</v>
          </cell>
        </row>
        <row r="82">
          <cell r="C82" t="str">
            <v>2401 - S.G.P. Alimentacion escolar</v>
          </cell>
        </row>
        <row r="83">
          <cell r="C83" t="str">
            <v>2411 - S.G.P. 12/12 Alimentacion escolar</v>
          </cell>
        </row>
        <row r="84">
          <cell r="C84" t="str">
            <v>2501 - S.G.P. Sector Agua potable y Saneamiento basico</v>
          </cell>
        </row>
        <row r="85">
          <cell r="C85" t="str">
            <v>2511 - S.G.P. 12/12 Sector Agua potable y Saneamiento basico</v>
          </cell>
        </row>
        <row r="86">
          <cell r="C86" t="str">
            <v xml:space="preserve"> - RECURSOS CON DESTINACION ESPECIFICA</v>
          </cell>
        </row>
        <row r="87">
          <cell r="C87" t="str">
            <v>3101 - particip. Nación Res. 0818-05</v>
          </cell>
        </row>
        <row r="88">
          <cell r="C88" t="str">
            <v>3102 - particip. Nación Res. 0917-04</v>
          </cell>
        </row>
        <row r="89">
          <cell r="C89" t="str">
            <v>3103 - particip. Nación Res. 1038-04</v>
          </cell>
        </row>
        <row r="90">
          <cell r="C90" t="str">
            <v>3104 - particip. Nación Res. 1451-04</v>
          </cell>
        </row>
        <row r="91">
          <cell r="C91" t="str">
            <v>3105 - particip. Nación Res. 2738-04/Acuerdo 267-04</v>
          </cell>
        </row>
        <row r="92">
          <cell r="C92" t="str">
            <v>3106 - particip. Nación Res. 3629-04 / Acuerdo 272</v>
          </cell>
        </row>
        <row r="93">
          <cell r="C93" t="str">
            <v>3107 - particip. Nación Res. 4064-04 /Acuerdo275-04</v>
          </cell>
        </row>
        <row r="94">
          <cell r="C94" t="str">
            <v>3108 - particip. Nación Res. 4694-04 /Acuerdo278-05</v>
          </cell>
        </row>
        <row r="95">
          <cell r="C95" t="str">
            <v>3109 - particip. Nación Res. 0746</v>
          </cell>
        </row>
        <row r="96">
          <cell r="C96" t="str">
            <v>3110 - particip. Nación Res. 3477-05</v>
          </cell>
        </row>
        <row r="97">
          <cell r="C97" t="str">
            <v>3111 - etesa</v>
          </cell>
        </row>
        <row r="98">
          <cell r="C98" t="str">
            <v>3112 - Impuesto Nacional al Carbon</v>
          </cell>
        </row>
        <row r="99">
          <cell r="C99" t="str">
            <v xml:space="preserve">3113 - situado fiscal </v>
          </cell>
        </row>
        <row r="100">
          <cell r="C100" t="str">
            <v>3114 - particip. Nación RES. S/N (2001-2003)</v>
          </cell>
        </row>
        <row r="101">
          <cell r="C101" t="str">
            <v>3115 - EPSA-Ley 99-93</v>
          </cell>
        </row>
        <row r="102">
          <cell r="C102" t="str">
            <v>3116 - part. Nacion Res. 3818-03 R.S.Ampliacion</v>
          </cell>
        </row>
        <row r="103">
          <cell r="C103" t="str">
            <v>3117 - part. Nacion Ac 190-01 R.S. Ampliación</v>
          </cell>
        </row>
        <row r="104">
          <cell r="C104" t="str">
            <v>3118 - part. Nacion Ac 202-01 R.S. Ampliación</v>
          </cell>
        </row>
        <row r="105">
          <cell r="C105" t="str">
            <v>3119 - part. Nacion Ac 213-01 R.S. Ampliación</v>
          </cell>
        </row>
        <row r="106">
          <cell r="C106" t="str">
            <v>3120 - part. Nacion Ac 214-01 R.S. Ampliación</v>
          </cell>
        </row>
        <row r="107">
          <cell r="C107" t="str">
            <v>3121 - part. Nacion Ac 222-01 R.S. Ampliación</v>
          </cell>
        </row>
        <row r="108">
          <cell r="C108" t="str">
            <v>3122 - part. Nacion Ac 235-02 R.S. Ampliación</v>
          </cell>
        </row>
        <row r="109">
          <cell r="C109" t="str">
            <v>3123 - part. Nacion Res. 1731-01 R.S.Ampliacion</v>
          </cell>
        </row>
        <row r="110">
          <cell r="C110" t="str">
            <v>3124 - particip. Nación Res. 4615-06</v>
          </cell>
        </row>
        <row r="111">
          <cell r="C111" t="str">
            <v>3125 - particip. Nación Res. 2400-06</v>
          </cell>
        </row>
        <row r="112">
          <cell r="C112" t="str">
            <v>3126 - particip. Nación Res. 3777-06</v>
          </cell>
        </row>
        <row r="113">
          <cell r="C113" t="str">
            <v>3127 - Particip. Nación Res.3395-05</v>
          </cell>
        </row>
        <row r="114">
          <cell r="C114" t="str">
            <v>3128 - Res. 001-99  F.N.C.</v>
          </cell>
        </row>
        <row r="115">
          <cell r="C115" t="str">
            <v>3129 - Particip. Nación Res. 768-01</v>
          </cell>
        </row>
        <row r="116">
          <cell r="C116" t="str">
            <v>3130 - Particip. Nación Res. 0966-06</v>
          </cell>
        </row>
        <row r="117">
          <cell r="C117" t="str">
            <v>3131 - Particip. Nación Res. 0908-06</v>
          </cell>
        </row>
        <row r="118">
          <cell r="C118" t="str">
            <v>3132 - Particip. Nación Res. 0909-06</v>
          </cell>
        </row>
        <row r="119">
          <cell r="C119" t="str">
            <v>3133 - Particip. Nación Res.2077-06</v>
          </cell>
        </row>
        <row r="120">
          <cell r="C120" t="str">
            <v>3134 - Particip. Nación Res.3596-06</v>
          </cell>
        </row>
        <row r="121">
          <cell r="C121" t="str">
            <v>3135 - Particip. Nación Res.4591-06</v>
          </cell>
        </row>
        <row r="122">
          <cell r="C122" t="str">
            <v>3136 - Particip. Nación Res.3597-06</v>
          </cell>
        </row>
        <row r="123">
          <cell r="C123" t="str">
            <v>3137 - Particip. Nación Res.3579-06</v>
          </cell>
        </row>
        <row r="124">
          <cell r="C124" t="str">
            <v>3138 - Particip. Nación Fosyga -07</v>
          </cell>
        </row>
        <row r="125">
          <cell r="C125" t="str">
            <v>3139 - Particip. Nación Fosyga -08</v>
          </cell>
        </row>
        <row r="126">
          <cell r="C126" t="str">
            <v>3140 - Particip. Nación Res. 001-99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MPD"/>
      <sheetName val="ACTIVIDADES PPTO GRAL."/>
      <sheetName val="ANEXO DETALLE POBLACIÓN"/>
      <sheetName val="DETALLE DE ACTIVIDADES "/>
      <sheetName val="Hoja2"/>
      <sheetName val="Hoja1"/>
      <sheetName val="DETALLE EQUIPO TRABAJO"/>
    </sheetNames>
    <sheetDataSet>
      <sheetData sheetId="0">
        <row r="2">
          <cell r="C2" t="str">
            <v>4111  SECRETARIA GENERAL</v>
          </cell>
        </row>
        <row r="3">
          <cell r="C3" t="str">
            <v>4121  DIRECCION JURIDICA</v>
          </cell>
        </row>
        <row r="4">
          <cell r="C4" t="str">
            <v>4122  DIRECCION DESARROLLO ADMINISTRATIVO</v>
          </cell>
        </row>
        <row r="5">
          <cell r="C5" t="str">
            <v>4123  DIRECCION DE CONTROL INTERNO Y GESTIÓN DE CALIDAD</v>
          </cell>
        </row>
        <row r="6">
          <cell r="C6" t="str">
            <v>4124  DIRECCION DE CONTROL DISCIPLINARIO INTERNO</v>
          </cell>
        </row>
        <row r="7">
          <cell r="C7" t="str">
            <v>4131  DEPTO. ADMTVO. HACIENDA</v>
          </cell>
        </row>
        <row r="8">
          <cell r="C8" t="str">
            <v>4132  DEPTO. ADMTVO. PLANEACION</v>
          </cell>
        </row>
        <row r="9">
          <cell r="C9" t="str">
            <v>4133  DEPTO. ADMTVO. GESTION MEDIO AMBIENTE</v>
          </cell>
        </row>
        <row r="10">
          <cell r="C10" t="str">
            <v>4143  SECRETARIA DE EDUCACION</v>
          </cell>
        </row>
        <row r="11">
          <cell r="C11" t="str">
            <v>4145  SECRETARIA DE SALUD PUBLICA</v>
          </cell>
        </row>
        <row r="12">
          <cell r="C12" t="str">
            <v>4146  SECRETARIA DE DESARROLLO TERRITORIAL. Y B. SOCIAL</v>
          </cell>
        </row>
        <row r="13">
          <cell r="C13" t="str">
            <v>4147  SECRETARIA DE VIVIENDA SOCIAL</v>
          </cell>
        </row>
        <row r="14">
          <cell r="C14" t="str">
            <v>4148  SECRETARIA DE CULTURA Y TURISMO</v>
          </cell>
        </row>
        <row r="15">
          <cell r="C15" t="str">
            <v>4151  SECRETARIA DE INFRAESTRUCTURA Y VALORIZACIÓN</v>
          </cell>
        </row>
        <row r="16">
          <cell r="C16" t="str">
            <v>4152  SECRETARIA DE TRANSITO Y TRANSPORTE</v>
          </cell>
        </row>
        <row r="17">
          <cell r="C17" t="str">
            <v>4161  SECRETARIA DE GOBIERNO, CONV. Y SEG</v>
          </cell>
        </row>
        <row r="18">
          <cell r="C18" t="str">
            <v>4162  SECRETARIA DE DEPORTE Y RECREACION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MPD"/>
      <sheetName val="ACTIVIDADES PPTO GRAL."/>
      <sheetName val="Hoja1"/>
      <sheetName val="ANEXO DETALLE POBLACION"/>
      <sheetName val="1,1 CAFETERIA"/>
      <sheetName val="ACTIV. PROGRAM-FIDIC-FINA -"/>
      <sheetName val="ACTIV. PROD-INDIC POBL OBJ."/>
      <sheetName val="Hoja2"/>
    </sheetNames>
    <sheetDataSet>
      <sheetData sheetId="0">
        <row r="2">
          <cell r="A2" t="str">
            <v xml:space="preserve">31010010001 -  A diciembre de 2015 está implementado el Componente Comunitario de la Estrategia AIEPI, enfatizando en la aplicación de prácticas clave de salud infantil, en 49 organizaciones en los TIO </v>
          </cell>
        </row>
        <row r="3">
          <cell r="A3" t="str">
            <v>31010010002 -  A diciembre de 2015 está implementado el componente clínico de la estrategia AIEPI en 50 IPS de los TIOS</v>
          </cell>
        </row>
        <row r="4">
          <cell r="A4" t="str">
            <v>31010010003 -  A diciembre de 2015 se ha aumentado a 98% las coberturas de vacunación por monitoreos rápidos en las comunas de los TIOS</v>
          </cell>
        </row>
        <row r="5">
          <cell r="A5" t="str">
            <v>31010010004 -  A diciembre de 2015 se han incrementado a 10 centros de escucha para desarrolar acciones de promoción de la salud mental, prevención y mitigación de los riesgos en el consumo de SPA en los TIOS</v>
          </cell>
        </row>
        <row r="6">
          <cell r="A6" t="str">
            <v>31010010005 -  A diciembre de 2015 funcionan 18 servicios amigables para jóvenes en los TIOS</v>
          </cell>
        </row>
        <row r="7">
          <cell r="A7" t="str">
            <v>31010010006 -  A diciembre de 2015, 22 orientadores comunitarios de calle interactúan con NNAJ en riesgo de vinculación o con participación en conflicto violento en los TIO</v>
          </cell>
        </row>
        <row r="8">
          <cell r="A8" t="str">
            <v>31010010007 -  A diciembre de 2015 se han incrementado a 9,103 los NNAJ de grupos vulnerables (Desplazados, LGTBI, de la calle y en situación de calle, desmovilizados e infractores de la Ley) vinculados al sistema educativo oficial consolidado</v>
          </cell>
        </row>
        <row r="9">
          <cell r="A9" t="str">
            <v>31010010008 -  En el período 2012-2015 se benefician 26 Instituciones Educativas Oficiales con kit  escolares</v>
          </cell>
        </row>
        <row r="10">
          <cell r="A10" t="str">
            <v xml:space="preserve">31010010009 -  A diciembre de 2015 se han incrementado a 11 los INFOCALIs  adecuados como espacios de creatividad digital y multimedial </v>
          </cell>
        </row>
        <row r="11">
          <cell r="A11" t="str">
            <v>31010010010 -  A diciembre de 2015, están capacitados al menos 8000 NNAJ  en el uso de Tecnologías de la información y la Comunicación TICs, en la red de bibliotecas o INFOCALIs</v>
          </cell>
        </row>
        <row r="12">
          <cell r="A12" t="str">
            <v>31010010011 -  En el período 2012-2015 se Promueve la  vinculacion de 12.166 NNAJ de Cali  a procesos de producciòn artistica</v>
          </cell>
        </row>
        <row r="13">
          <cell r="A13" t="str">
            <v>31010010012 -  A diciembre de 2015 se Implementan cuatro estrategias de educación y comunicación dirigidas a jóvenes vinculados a expresiones artísticas de cultura urbana en las comunas</v>
          </cell>
        </row>
        <row r="14">
          <cell r="A14" t="str">
            <v>31010010013 -  En el período 2012-2015 se benefician 14,160 niños mediante programas de iniciación y formación deportiva en TIO con énfasis en resolución de conflictos</v>
          </cell>
        </row>
        <row r="15">
          <cell r="A15" t="str">
            <v>31010010014 -  En el período 2012-2015 hay 10 Instituciones educativas con jornada escolar extendida y complementaria</v>
          </cell>
        </row>
        <row r="16">
          <cell r="A16" t="str">
            <v>31010010015 -  En el período 2012-2015 se Vinculan 14.800 estudiantes a  los procesos artísticos y culturales en el  marco de las jornadas escolares extendidas y complementarias</v>
          </cell>
        </row>
        <row r="17">
          <cell r="A17" t="str">
            <v>31010010016 -  En el período 2012-2015 se Prestan 10 escenarios deportivos para el programa de jornadas escolar extendida</v>
          </cell>
        </row>
        <row r="18">
          <cell r="A18" t="str">
            <v xml:space="preserve">31010010017 -  A diciembre de 2015, se han vinculado 1,000 Jóvenes desescolarizados en procesos de  nivelación  educativa  y digital </v>
          </cell>
        </row>
        <row r="19">
          <cell r="A19" t="str">
            <v>31010010018 -  A diciembre de 2015 están funcionando 2 Alianzas publico-privadas para la atención a NNAJ vinculados al conflicto con énfasis en reconstrucción de lazos familiares, la prevención del consumo de SPA y rehabilitación psicológica por violencia</v>
          </cell>
        </row>
        <row r="20">
          <cell r="A20" t="str">
            <v xml:space="preserve">31010010019 -  A diciembre de 2015 se han vinculado 2,000 Jóvenes a procesos de desaprendizaje de la violencia </v>
          </cell>
        </row>
        <row r="21">
          <cell r="A21" t="str">
            <v>31010010020 -  A diciembre de 2013 se formula e implementa una estrategia permanente de lucha contra la explotación sexual, laboral y comercial de NNAJ</v>
          </cell>
        </row>
        <row r="22">
          <cell r="A22" t="str">
            <v>31010010021 -  En el período 2012-2015 se da Asistencia psicológica profesional a 20 Instituciones Educativas Oficiales en los TIO</v>
          </cell>
        </row>
        <row r="23">
          <cell r="A23" t="str">
            <v>31010010022 -  En el período 2012-2015 se Fortalecen 5 organizaciones dancísticas y musicales folclóricas de la comuna 1</v>
          </cell>
        </row>
        <row r="24">
          <cell r="A24" t="str">
            <v>31010010023 -  En el período 2012-2015 se Capacita en gestión cultural a 100  líderes  de las  comunas 6,16 y 21, y realizar  con ellos un intercambio de experiencias sobre gestiòn  cultural  en el abmikto nacional e internacional</v>
          </cell>
        </row>
        <row r="25">
          <cell r="A25" t="str">
            <v>31010010024 -  En el período 2012-2015 se Capacitan 900 jóvenes no escolarizados y adultos en diversas disciplinas artísticas, en las comunas 1, 3, 6, 13, 14, 18, 20 y 21</v>
          </cell>
        </row>
        <row r="26">
          <cell r="A26" t="str">
            <v>31010010025 -  En el período 2012-2015 se Intervienen 4,000 jóvenes a través de talleres vivenciales en aprendizaje experiencial para la transformación de imaginarios y prácticas, en las comunas 1, 3, 6, 7, 13, 14, 15, 16, 18, 20 y 21.</v>
          </cell>
        </row>
        <row r="27">
          <cell r="A27" t="str">
            <v>31010010026 -  En el período 2012-2015 se han capacitado 2,400 personas en el reconocimiento, la  restitución y la promoción de sus derechos y deberes, en el marco de la política pública de primera infancia, infancia y adolescencia, en las comunas 1, 3, 6</v>
          </cell>
        </row>
        <row r="28">
          <cell r="A28" t="str">
            <v>31010020001 -  Adiciembre de 2013 hay 11 Puntos de información y orientación sobre programas sociales y rutas de acceso funcionando en los CALI de las comunas de los TIOS</v>
          </cell>
        </row>
        <row r="29">
          <cell r="A29" t="str">
            <v>31010020002 -  En el período 2012-2015 se han atendido  a 1,000 a Mujeres víctimas de violencia basada en genero, familiar y sexual</v>
          </cell>
        </row>
        <row r="30">
          <cell r="A30" t="str">
            <v>31010020003 -  A diciembre de 2015 se han Incrementado a 11 Redes de promoción del buen trato y de gestión de la convivencia familiar en las comunas priorizadas para TIOS</v>
          </cell>
        </row>
        <row r="31">
          <cell r="A31" t="str">
            <v>31010020004 -  Adiciembre de 2013 está funcionando una Estrategia  de cualificación en convivencia familiar a líderes comunitarios y agentes institucionales</v>
          </cell>
        </row>
        <row r="32">
          <cell r="A32" t="str">
            <v xml:space="preserve">31010020005 -  A diciembre de 2015 se han promovido tres Estrategias IEC con talentos locales para la movilización social, la promoción de la convivencia pacífica y la prevención del  consumo de sustancias psicoactivas - SPA </v>
          </cell>
        </row>
        <row r="33">
          <cell r="A33" t="str">
            <v>31010020006 -  En el período 2012-2015 se Fomenta la Recreación en parques a 46,883 familias en los TIOS</v>
          </cell>
        </row>
        <row r="34">
          <cell r="A34" t="str">
            <v>31010020007 -  A diciembre de 2015, se han realizado 11 Convenios de apoyo a Iniciativas productivas lideradas por jóvenes en riesgo y /o madres cabeza de hogar  en las 11 comunas con mayores niveles de pobreza, violencia e inseguridad</v>
          </cell>
        </row>
        <row r="35">
          <cell r="A35" t="str">
            <v>31010020008 -  A diciembre de 2014, se implementa una  estrategia  IEC con adultos mayores para el intercambio de saberes, afianzamiento de lazos familiares y promoción del sentido de pertenencia con el municipio, su historia y sus tradiciones</v>
          </cell>
        </row>
        <row r="36">
          <cell r="A36" t="str">
            <v>31010020009 -  En el período 2012-2015 se han atendido 19,645 adultos mayores con enfoque diferencial</v>
          </cell>
        </row>
        <row r="37">
          <cell r="A37" t="str">
            <v>31010020010 -  En el período 2012-2015 se han atendido 400 personas con discapacidad y sus familias</v>
          </cell>
        </row>
        <row r="38">
          <cell r="A38" t="str">
            <v>31010020011 -  En el período 2012-2015 se Capacita a 100 personas de la  comuna 16, entre  jóvenes y adultos en diversas disciplinas artísticas</v>
          </cell>
        </row>
        <row r="39">
          <cell r="A39" t="str">
            <v>31010020012 -  A diciembre de 2015 se Celebra al menos una semana cultural por la vida en la  comuna 16, con la  participación de diferentes grupos poblacionales especiales (jóvenes, adulto mayor, discapacitados).</v>
          </cell>
        </row>
        <row r="40">
          <cell r="A40" t="str">
            <v>31010020013 -  A diciembre de 2015 se ha implementado 1 Programa de sensibilización para la prevención de la violencia familiar, en las comunas 1, 3, 6, 7, 13, 14, 15, 16, 18, 20 y 21</v>
          </cell>
        </row>
        <row r="41">
          <cell r="A41" t="str">
            <v xml:space="preserve">31010030001 -  A diciembre de 2015, 4000 Familias estan  vinculadas a la Red UNIDOS de superación de la pobreza extrema alcanzando los logros del programa </v>
          </cell>
        </row>
        <row r="42">
          <cell r="A42" t="str">
            <v xml:space="preserve">31010030002 -  A diciembre de 2015, 8 servicios sociales de la  alcaldía estan articulados a los  programas y estrategias nacionales de superación de la pobreza extrema </v>
          </cell>
        </row>
        <row r="43">
          <cell r="A43" t="str">
            <v xml:space="preserve">31010030003 -  A diciembre de 2013,  está operando  un Sistema de información en línea para el seguimiento y verificación de requisitos para reconocimiento de subsidios de programas de superación de la pobreza extrema </v>
          </cell>
        </row>
        <row r="44">
          <cell r="A44" t="str">
            <v>31010030004 -  A diciembre de 2015, 4000 Adultos vinculados al Programa Ingreso Social Básico del Departamento para la Prosperidad Social en proceso de culminación de la  formación educativa básica</v>
          </cell>
        </row>
        <row r="45">
          <cell r="A45" t="str">
            <v>31010030005 -  A diciembre de 2015, 4000 Jóvenes vinculados a los programas de superación de la pobreza extrema con  formación técnica y tecnológica</v>
          </cell>
        </row>
        <row r="46">
          <cell r="A46" t="str">
            <v xml:space="preserve">31010030006 -  A diciembre de 2015,  Se capacitan 4000 Madres y Padres líderes de los programas de superación de la pobreza extrema con habilidades para la crianza </v>
          </cell>
        </row>
        <row r="47">
          <cell r="A47" t="str">
            <v>31010030007 -  A diciembre de 2015, se realizan almenos  6 Convenios para elaborar y comercializar con el apoyo de organizaciones sociales, Mercadiarios sociales orientados a atender la demanda de alimentos de la  población más pobre de Cali</v>
          </cell>
        </row>
        <row r="48">
          <cell r="A48" t="str">
            <v>31010030008 -  A diciembre de 2013, se realizan 47 Convenios  para operar ollas comunitarias en barrios de comunas con mayores índices de violencia y pobreza</v>
          </cell>
        </row>
        <row r="49">
          <cell r="A49" t="str">
            <v xml:space="preserve">31010030009 -  A diciembre de 2014,  se realizan 6 Convenios  para conformar y operar  bancos de alimentos ubicados respectivamente en la zona oriental, nor-oriental y ladera en los segmentos sur, central y nor-occidental. </v>
          </cell>
        </row>
        <row r="50">
          <cell r="A50" t="str">
            <v xml:space="preserve">31010030010 -  En el período 2012-2015 se benefician 26 Instituciones Educativas Oficiales con desayunos escolares </v>
          </cell>
        </row>
        <row r="51">
          <cell r="A51" t="str">
            <v>31010040001 -  En el período 2012-2015 se aumenta en 2,000 las Mujeres cabeza de hogar  vinculadas a programas de capacitación para el trabajo y emprendimiento con enfoque diferencial</v>
          </cell>
        </row>
        <row r="52">
          <cell r="A52" t="str">
            <v>31010040002 -  En el período 212-2015 se aumenta en 1,800 los Jóvenes vinculados a programas de capacitación para el trabajo y emprendimiento con enfoque diferencial</v>
          </cell>
        </row>
        <row r="53">
          <cell r="A53" t="str">
            <v>31010040003 -  A diciembre de 2015, se realiza un Convenio para implementar programas de emprendimiento para la población afro (alimentos, pequeña manufactura, industria cultural,  afro-estética, entre otros)</v>
          </cell>
        </row>
        <row r="54">
          <cell r="A54" t="str">
            <v xml:space="preserve">31010040004 -  A diciembre de 2015, 880  Personas con discapacidad  han sido beneficiadas por el Banco de Ayudas Técnicas </v>
          </cell>
        </row>
        <row r="55">
          <cell r="A55" t="str">
            <v>31010040005 -  A diciembre de 2015 se Implementa un programa de capacitación en emprendimiento para la población con discapacidad y carretilleros</v>
          </cell>
        </row>
        <row r="56">
          <cell r="A56" t="str">
            <v>31010040006 -  A diciembre de 2014 se Capacita en planes de  negocio y  marketing a emprendimientos culturales, a representantes  de 50  organizacioense  culturales  de las comunas 13, 15 y 21</v>
          </cell>
        </row>
        <row r="57">
          <cell r="A57" t="str">
            <v>31020010001 -  En el período 212-2015, 22 Sitios deteriorados, parques y zonas blandas de separadores viales, zonas verdes,  entornos instituciones educativas oficiales, son recuperados ambiental y paisajística con participación ciudadana</v>
          </cell>
        </row>
        <row r="58">
          <cell r="A58" t="str">
            <v>31020010002 -  A diciembre de 2015,  se realizan 11 campañas comunitarias para recuperación de entornos deteriorados ubicados sobre las vías utilizadas por las rutas alimentadores del MIO.</v>
          </cell>
        </row>
        <row r="59">
          <cell r="A59" t="str">
            <v>31020010003 -  A diciembre de 2015, se realizan 11 campañas comunitarias para recuperación de entornos deteriorados ubicados sobre las vías utilizadas por las rutas cívicas escolares en el marco de las jornadas complementarias</v>
          </cell>
        </row>
        <row r="60">
          <cell r="A60" t="str">
            <v xml:space="preserve">31020010004 -  A diciembre de 2015 se han desarrollado 50 Iniciativas comunitarias para la apropiación de espacio público desarrolladas </v>
          </cell>
        </row>
        <row r="61">
          <cell r="A61" t="str">
            <v>31020010005 -  En el período 2012-2015 se realiza el mantenimiento de 132 equipamientos comunitarios (Sedes comunales, Casas de la cultura, escenarios deportivos) en los TIO</v>
          </cell>
        </row>
        <row r="62">
          <cell r="A62" t="str">
            <v>31020010006 -  En el período 2012-2015 se realiza el Mantenimiento a 2.6 km de vías en territorios de inclusión y oportunidades (TIO)</v>
          </cell>
        </row>
        <row r="63">
          <cell r="A63" t="str">
            <v xml:space="preserve">31020010007 -  A diciembre de 2015 el 90%  de los establecimientos comerciales, institucionales y los que expenden alimentos en los TIO cumplen con requisitos de calidad </v>
          </cell>
        </row>
        <row r="64">
          <cell r="A64" t="str">
            <v>31020010008 -  A diciembre de 2015 se ha Incrementado al 95% la cobertura de vacunación antirábica en caninos y felinos en los TIO</v>
          </cell>
        </row>
        <row r="65">
          <cell r="A65" t="str">
            <v>31020010009 -  En el período 2012-2015 se atiende el 100% de las quejas por contaminación auditiva en los TIO</v>
          </cell>
        </row>
        <row r="66">
          <cell r="A66" t="str">
            <v>31020010010 -  A diciembre de 2015 se ha realizado capacitación a 100 personas por comuna de los TIOS en manejo adecuado de factores de riesgo que facilitan la proliferación de vectores y roedores en los sectores recuperados.</v>
          </cell>
        </row>
        <row r="67">
          <cell r="A67" t="str">
            <v>31020010011 -  En el período 2012-2015 se realiza el Mejoramiento a la infraestructura física de 4 Centros de Administración Local Integrado - CALI, en las comunas 7, 13,15 y 18</v>
          </cell>
        </row>
        <row r="68">
          <cell r="A68" t="str">
            <v>31020010012 -  En el período 2012-2015 se implementan 5 Estrategias pedagogicas para promover el manejo Adecuado de Residuos Sólidos</v>
          </cell>
        </row>
        <row r="69">
          <cell r="A69" t="str">
            <v xml:space="preserve">31030010001 -  A diciembre de 2015 se han rconocido y premiado 11 Iniciativas comunitarias de seguridad y convivencia </v>
          </cell>
        </row>
        <row r="70">
          <cell r="A70" t="str">
            <v>31030010002 -  A diciembre de 2015 se han conformado 125 Frentes de Seguridad Barrial (alarmas)</v>
          </cell>
        </row>
        <row r="71">
          <cell r="A71" t="str">
            <v xml:space="preserve">31030010003 -  A diciembre de 2015 se ha desarrollado una (1) Estrategia IEC para el desarme voluntario de la comunidad </v>
          </cell>
        </row>
        <row r="72">
          <cell r="A72" t="str">
            <v xml:space="preserve">31030010004 -  A diciembre de 2015 se han realizado 125 Operativos de control del expendio de licor a menores en establecimientos </v>
          </cell>
        </row>
        <row r="73">
          <cell r="A73" t="str">
            <v>31030010005 -  A diciembre de 2015 se han intervenido 10 Entornos de las Sedes educativas para la promoción de la convivencia y la seguridad</v>
          </cell>
        </row>
        <row r="74">
          <cell r="A74" t="str">
            <v>31030010006 -  En el período 2012-2015 se Realiza un programa de cine al barrio con énfasis en valores que promuevan la convivencia y la seguridad</v>
          </cell>
        </row>
        <row r="75">
          <cell r="A75" t="str">
            <v>31030010007 -  A diciembre de 2015 se han realizado 48 Operativos de control a establecimientos de comercio para la prevención de la prostitución y la explotación sexual de NNA</v>
          </cell>
        </row>
        <row r="76">
          <cell r="A76" t="str">
            <v xml:space="preserve">31030020001 -  A diciembre de 2015, se capacitan  400 Facilitadores formados en estrategias de convivencia que orienten la población vinculada a casos de violencia hacia diferentes instancias y mecanismos de resolución pacífica de conflictos </v>
          </cell>
        </row>
        <row r="77">
          <cell r="A77" t="str">
            <v>31030020002 -  A diciembre de 2015, se realizan 4 Concursos anuales de reconocimiento a iniciativas Comunitarias que promuevan pedagogía de la convivencia y cultura de la legalidad, en convenio con universidades</v>
          </cell>
        </row>
        <row r="78">
          <cell r="A78" t="str">
            <v>31030020003 -  A diciembre de 2015 se han realizado 3 Talleres  de  resolución de conflictos comunitarios en la comuna 16.</v>
          </cell>
        </row>
        <row r="79">
          <cell r="A79" t="str">
            <v xml:space="preserve">31030030001 -  A diciembre de 2015 se han realizado 4 estudios de caracterización de conflictos  y alianzas público-privadas para realizar seguimiento y evaluación a la Estrategia TIOS, con georeferenciación </v>
          </cell>
        </row>
        <row r="80">
          <cell r="A80" t="str">
            <v>31030030002 -  A diciembre de 2015, se han realizado 4 Estudios y diseños de modelos de intervención en temas priorizados para los TIOS</v>
          </cell>
        </row>
        <row r="81">
          <cell r="A81" t="str">
            <v xml:space="preserve">31030030003 -  En el período 2012-2015 se ha implementado un Sistema de seguimiento y evaluación de la Estrategia TIOS </v>
          </cell>
        </row>
        <row r="82">
          <cell r="A82" t="str">
            <v>32010010001 -  En el período 2012-2015 se incrementan en 3,094 los Niños y niñas matriculados en el nivel de preescolar</v>
          </cell>
        </row>
        <row r="83">
          <cell r="A83" t="str">
            <v>32010010002 -  En el período 2012-2015 se incrementan en 2,982 los Niños, niñas y adolescentes matriculados en el nivel de primaria</v>
          </cell>
        </row>
        <row r="84">
          <cell r="A84" t="str">
            <v>32010010003 -  En el período 2012-2015 se incrementan en 4,771 los Niños, niñas, adolescentes y jóvenes matriculados en el nivel de secundaria</v>
          </cell>
        </row>
        <row r="85">
          <cell r="A85" t="str">
            <v>32010010004 -  En el período 2012-2015 se incrementan en 9,042 los Adolescentes y jóvenes matriculados en el nivel de media</v>
          </cell>
        </row>
        <row r="86">
          <cell r="A86" t="str">
            <v>32010010005 -  En el período 2012-2015 se incrementan a 35,810 los Jóvenes y adultos vinculados al sistema educativo por ciclos acelerados</v>
          </cell>
        </row>
        <row r="87">
          <cell r="A87" t="str">
            <v>32010010006 -  En el período 2012-2015 se reducen en 1,982 los Niños, niñas y jóvenes en situación de deserción escolar en el sistema educativo regular oficial</v>
          </cell>
        </row>
        <row r="88">
          <cell r="A88" t="str">
            <v>32010010007 -  En el período 2012-2015 se hay 304 Aulas nuevas en las Instituciones Educativas Oficiales construidas con normas NTC</v>
          </cell>
        </row>
        <row r="89">
          <cell r="A89" t="str">
            <v>32010010008 -  En el período 2012-2015 se hace el Mantenimiento de 300 aulas existentes en las Instituciones Educativas Oficiales bajo normas NTC</v>
          </cell>
        </row>
        <row r="90">
          <cell r="A90" t="str">
            <v>32010010009 -  En el período 2012-2015 se hace el Mantenimiento y adecuación de 120 ambientes escolares</v>
          </cell>
        </row>
        <row r="91">
          <cell r="A91" t="str">
            <v>32010010010 -  En el período 2012-2015 se hace Dotación a 88 Instituciones Educativas</v>
          </cell>
        </row>
        <row r="92">
          <cell r="A92" t="str">
            <v>32010010011 -  En el período 2012-2015 hay 91 Instituciones educativas administrando fondos de servicios educativos</v>
          </cell>
        </row>
        <row r="93">
          <cell r="A93" t="str">
            <v>32010010012 -  En el período 2012-2015 se ralizan Pagos al 100% del personal docente, administrativo y contratos de cobertura educativa</v>
          </cell>
        </row>
        <row r="94">
          <cell r="A94" t="str">
            <v>32010010013 -  En el período 2012-2015 hay 250 Establecimientos de educación para el trabajo y el desarrollo humano con regulación por parte de la SEM</v>
          </cell>
        </row>
        <row r="95">
          <cell r="A95" t="str">
            <v>32010010014 -  En el período 2012-2015 se benefician 18 Instituciones educativas oficales con desayunos escolares</v>
          </cell>
        </row>
        <row r="96">
          <cell r="A96" t="str">
            <v>32010010015 -  En el período 2012-2015 se raliza el 100% del Pago de servicios públicos y arrendamientos de sedes educativas oficiales</v>
          </cell>
        </row>
        <row r="97">
          <cell r="A97" t="str">
            <v>32010020001 -  En el período 2012-2015 se dotan 150,000 Computadores para uso en el aula (por fuera de la sala de sistemas) de  los estudiantes de las instituciones educativas oficiales.</v>
          </cell>
        </row>
        <row r="98">
          <cell r="A98" t="str">
            <v xml:space="preserve">32010020002 -  En el período 2012-2015 hay 9,235 Computadores de las instituciones educativas oficiales en las salas de sistemas con licenciamiento de software </v>
          </cell>
        </row>
        <row r="99">
          <cell r="A99" t="str">
            <v>32010020003 -  En el período 2012-2015 se capacitan 3,356 Docentes de las Instituciones Educativas Oficiales en uso de TIC’s como herramienta para mejorar el aprendizaje de los estudiantes en el aula</v>
          </cell>
        </row>
        <row r="100">
          <cell r="A100" t="str">
            <v>32010020004 -  En el período 2012-2015 se Adecuan 151 salas de sistemas en instituciones educativas</v>
          </cell>
        </row>
        <row r="101">
          <cell r="A101" t="str">
            <v>32010030001 -  En el período 2012-2015 se Establecen 3 convenios y alianzas con instituciones de educación superior  en formación para el trabajo y el desarrollo humano</v>
          </cell>
        </row>
        <row r="102">
          <cell r="A102" t="str">
            <v>32010030002 -  En el período 2012-2015 hay 51 Establecimientos Educativos Oficiales acompañados por tutores para el mejoramiento del aprendizaje de los estudiantes</v>
          </cell>
        </row>
        <row r="103">
          <cell r="A103" t="str">
            <v>32010030003 -  En el período 2012-2015 hay 50 Instituciones Educativas Oficiales acompañadas en el desarrollo de competencias ciudadanas en los diversos ambientes educativos</v>
          </cell>
        </row>
        <row r="104">
          <cell r="A104" t="str">
            <v>32010030004 -  En el período 2012-2015 se implementa un Sistema de evaluación de la calidad educativa de las Instituciones Educativas</v>
          </cell>
        </row>
        <row r="105">
          <cell r="A105" t="str">
            <v>32010030005 -  En el período 2012-2015 se implementa un Sistema de monitoreo y evaluación de la educación municipal</v>
          </cell>
        </row>
        <row r="106">
          <cell r="A106" t="str">
            <v>32010030006 -  En el período 2012-2015 se establece 1 Alianza y/o convenio para la formación de docentes de las Instituciones Educativas Oficiales en programas de postgrado</v>
          </cell>
        </row>
        <row r="107">
          <cell r="A107" t="str">
            <v>32010030007 -  En el período 2012-2015 se establece una Alianzas público – privadas para la promoción de la educación técnica, tecnológica y/o superior en el Distrito de Aguablanca</v>
          </cell>
        </row>
        <row r="108">
          <cell r="A108" t="str">
            <v>32010030008 -  En el período 2012-2015 hay 32 Instituciones Educativas Oficiales con reformulación de PEI</v>
          </cell>
        </row>
        <row r="109">
          <cell r="A109" t="str">
            <v>32010040001 -  En el período 2014-2015 se Formula e implementa la política pública de lectura y bibliotecas</v>
          </cell>
        </row>
        <row r="110">
          <cell r="A110" t="str">
            <v>32010040002 -  A diciembre de 2015, está ajustado el Plan de lectura y escritura</v>
          </cell>
        </row>
        <row r="111">
          <cell r="A111" t="str">
            <v>32010040003 -  En el período 2012-2015 se benefician 1,395,000 Personas con los programas de fomento a la lectura y la escritura a través de la red de bibliotecas públicas comunitarias, centros culturales y espacios no convencionales</v>
          </cell>
        </row>
        <row r="112">
          <cell r="A112" t="str">
            <v>32010040004 -  En el período 2012-2015 se benefician 100,000 Niñas y niños en edad escolar con los programas de fomento a la lectura y la escritura a través de la red de bibliotecas</v>
          </cell>
        </row>
        <row r="113">
          <cell r="A113" t="str">
            <v>32020010001 -  A diciembre de 2015 Lograr que, por lo menos, 2,900 pesonas pertenecientes a grupos poblacionales seleccionados participen de acciones de promociòn de la afiliaciòn al régimen subsidiado</v>
          </cell>
        </row>
        <row r="114">
          <cell r="A114" t="str">
            <v>32020010002 -  Al 2015 el 85% de las victimas de la violencia incluidas en el registro unico de victimas,que tengan documento de identidad  y que se localicen en el Municipio de Cali estan afiliadas al SGSSS</v>
          </cell>
        </row>
        <row r="115">
          <cell r="A115" t="str">
            <v>32020010003 -  A diciembbre de 2015, lograr que las EPS cumplan, por lo menos, el 85% de sus planes de afiliaciòn</v>
          </cell>
        </row>
        <row r="116">
          <cell r="A116" t="str">
            <v xml:space="preserve">32020010004 -  A diciembbre de 2015  a la poblaciòn afiliada al règimen subsidiado se la ha garantizado la continuidad </v>
          </cell>
        </row>
        <row r="117">
          <cell r="A117" t="str">
            <v>32020010005 -  A diciembre de 2015 Lograr que, por lo menos, el 75% de la poblaciòn pobre no asegurada del Municipio cuente con atención en salud.</v>
          </cell>
        </row>
        <row r="118">
          <cell r="A118" t="str">
            <v>32020010006 -  En el período 2012-2015 se incrementa a 5,712 los creadores y gestores culturales afiliados al sistema social de salud</v>
          </cell>
        </row>
        <row r="119">
          <cell r="A119" t="str">
            <v>32020020001 -  a diciembre de 2015 se captará al menos el  75% de las gestantes en el primer trimestre, para ingreso a control prenatal</v>
          </cell>
        </row>
        <row r="120">
          <cell r="A120" t="str">
            <v xml:space="preserve">32020020002 -  a diciembre de 2015 se logrará adherencia a control prenatal en el 95% de las gestantes. </v>
          </cell>
        </row>
        <row r="121">
          <cell r="A121" t="str">
            <v>32020020003 -  a diciembre de 2015 el 80% de los pacientes de TB Pulmonar  se habrán diagnosticado oportunamente</v>
          </cell>
        </row>
        <row r="122">
          <cell r="A122" t="str">
            <v>32020020004 -  A diciembre de 2015 el 60% de los pacientes de TB tendrán diagnóstico oportuno de coinfección y resistencia a fármacos</v>
          </cell>
        </row>
        <row r="123">
          <cell r="A123" t="str">
            <v>32020020005 -  A diciembre de 2015 el 75% de Pacientes inmunosuprimidos (VIH, diabéticos, etc) se les ha realizado prueba cutánea de tuberculina</v>
          </cell>
        </row>
        <row r="124">
          <cell r="A124" t="str">
            <v>32020020006 -  Disminunir en el cuatrenio un 50% de  los PQR  recibidos en la SSPM- SAC, relacionados con el acceso a los servicios de salud de los usuarios de la red de salud pública.</v>
          </cell>
        </row>
        <row r="125">
          <cell r="A125" t="str">
            <v xml:space="preserve">32020020007 -  Disminunir en el cuatrenio un 50% de los PQR recibidos en la SSPM SAC, relacionados con el acceso a los servicios de salud de los usuarios del régimen subsidiado y contribuitivo.  </v>
          </cell>
        </row>
        <row r="126">
          <cell r="A126" t="str">
            <v>32020020008 -  establecer 10 equipos operativos que implementan la estrategia de atención primaria en salud</v>
          </cell>
        </row>
        <row r="127">
          <cell r="A127" t="str">
            <v>32020020009 -  A  diciembre de 2015 las ESE Municipales cuentan con proyecto de reestructuraciòn elaborado  que incluye  un diagnóstico social, económico, de eficiencia  y conveniencia de las ESES</v>
          </cell>
        </row>
        <row r="128">
          <cell r="A128" t="str">
            <v>32020020010 -  A  diciembre de 2015 se ha implementado la Estrategia de Atención Primaria en Salud  en sus componentes de análisis de situacion de salud, intersectorialidad, participacion comunitaria y vigilancia en salud pública</v>
          </cell>
        </row>
        <row r="129">
          <cell r="A129" t="str">
            <v>32020020011 -  A diciembre de 201 lasEse's municipales han mejorado su capacidad resolutiva</v>
          </cell>
        </row>
        <row r="130">
          <cell r="A130" t="str">
            <v xml:space="preserve">32020020012 -  a diciembre de 2015 se ha Incrementado el  cumplimiento de las  intervenciones de las 10 prioridades en Salud Publica contempladas en la línea de Promoción de la Salud y la calidad de vida y prevención de los riesgos </v>
          </cell>
        </row>
        <row r="131">
          <cell r="A131" t="str">
            <v>32020020013 -  a diciembre de 2015 se ha Incrementado el seguimiento a la aplicación de la política de prestación de servicios a 20 IPS</v>
          </cell>
        </row>
        <row r="132">
          <cell r="A132" t="str">
            <v>32020020014 -  En el período 2012-2015 se Mantiene el índice aédico  por debajo de 5%</v>
          </cell>
        </row>
        <row r="133">
          <cell r="A133" t="str">
            <v xml:space="preserve">32020020015 -  A diciembre de 2015 se ha Incrementado al 90% la cobertura de vacunación antirrábica en caninos y felinos </v>
          </cell>
        </row>
        <row r="134">
          <cell r="A134" t="str">
            <v>32020030002 -  A diciembre de 2015 se ha incrementado en un 10% el Consumo de frutas y verduras  en los escolares de básica primaria de las sedes intervenidas con proyectos pedagógicos con enfoque de competencias.</v>
          </cell>
        </row>
        <row r="135">
          <cell r="A135" t="str">
            <v>32020030003 -  Aj junio de 2013 se cuenta con linemientos para la práctica de la actividad física con enfoque de estilos de vida saludable</v>
          </cell>
        </row>
        <row r="136">
          <cell r="A136" t="str">
            <v>32020030004 -  Formular una política publica para el deporte</v>
          </cell>
        </row>
        <row r="137">
          <cell r="A137" t="str">
            <v>32020030005 -  beneficiar 56,740 niños mediante programas de iniciación y formación deportiva en comunas</v>
          </cell>
        </row>
        <row r="138">
          <cell r="A138" t="str">
            <v>32020030006 -  beneficiar 139,877 deportistas con eventos deportivos en el periodo de gobierno</v>
          </cell>
        </row>
        <row r="139">
          <cell r="A139" t="str">
            <v>32020030007 -  beneficiar 4 mil niños mediante programas de iniciación y formación deportiva en corregimientos</v>
          </cell>
        </row>
        <row r="140">
          <cell r="A140" t="str">
            <v>32020030008 -  Capacitar a mil personas del sector deportivo en el periodo de gobierno</v>
          </cell>
        </row>
        <row r="141">
          <cell r="A141" t="str">
            <v>32020030009 -  Realizar 24 juegoos deportivos en el periodo de gobierno (LGTB, corregimientos,  afro-descendientes,  reclusorios, recicladores)</v>
          </cell>
        </row>
        <row r="142">
          <cell r="A142" t="str">
            <v>3202003001 -  A diciembre de 2015 las instituciones educativas públicas ofrecen alimentos sanos de acuerdo al decreto 0666 de 2009</v>
          </cell>
        </row>
        <row r="143">
          <cell r="A143" t="str">
            <v>32020030010 -  Fomentar la recreación en 15 parque para beneficiar a 600 mil personas en el periodo de gobierno</v>
          </cell>
        </row>
        <row r="144">
          <cell r="A144" t="str">
            <v xml:space="preserve">32020030011 -  Fomentar la recreación mediante el programa de la ciclovida beneficiando 200 mil personas por año </v>
          </cell>
        </row>
        <row r="145">
          <cell r="A145" t="str">
            <v xml:space="preserve">32020030012 -  Fomentar la recreación mediante 23 eventos recreativos en comunas </v>
          </cell>
        </row>
        <row r="146">
          <cell r="A146" t="str">
            <v>32020030013 -  Fomentar la recreación mediante 4 eventos con énfasis en prevención de sustancias y violencia familiar</v>
          </cell>
        </row>
        <row r="147">
          <cell r="A147" t="str">
            <v>32020040001 -  En el epríodo 2012-2015 se brinda asistencia técnica para la producción de sistemas agrarios sostenibles a 800 Pequeños productores de los corregimientos</v>
          </cell>
        </row>
        <row r="148">
          <cell r="A148" t="str">
            <v xml:space="preserve">32020040002 -  a diciembre de 2015  se ha Incrementado de 75 a 178 el número de sedes educativas que reportan información requerida para el SISVAN escolar. </v>
          </cell>
        </row>
        <row r="149">
          <cell r="A149" t="str">
            <v xml:space="preserve">32020040003 -  A diciembre de 2015 se ha Incrementado de 30 a 75 IPS como unidades generadoras de datos para el  SISVAN materno infantil </v>
          </cell>
        </row>
        <row r="150">
          <cell r="A150" t="str">
            <v>32020040004 -  A diciembre de 2015 se apoyan 3 Estrategias de aseguramiento y sostenibilidad para la comercialización de los productos de los pequeños productores de los corregimientos</v>
          </cell>
        </row>
        <row r="151">
          <cell r="A151" t="str">
            <v>32020040005 -  A diciembre de 2014 está Formulada la Política Pública de Seguridad Alimentaria</v>
          </cell>
        </row>
        <row r="152">
          <cell r="A152" t="str">
            <v>32030010001 -  En el período 2012-2015 hay 3,631 Niños y niñas matriculados en educación inicial (pre-jardín y jardín) para primera infancia, en coordinación con los programas correspondientes del orden nacional (De Cero a Siempre, PAIPI, entre otros) y d</v>
          </cell>
        </row>
        <row r="153">
          <cell r="A153" t="str">
            <v>32030010002 -  En el período 2012-2015 hay 29,000 Madres gestantes capacitadas sobre desarrollo infantil educación inicial  y pautas de crianza humanizada</v>
          </cell>
        </row>
        <row r="154">
          <cell r="A154" t="str">
            <v>32030010003 -  En el período 2012-2015, 71,000 Niños y niñas de primera infancia acceden al derecho a la identidad</v>
          </cell>
        </row>
        <row r="155">
          <cell r="A155" t="str">
            <v>32030010004 -  Fomentar la recreación mediante ocho eventos para madres comunitarias</v>
          </cell>
        </row>
        <row r="156">
          <cell r="A156" t="str">
            <v>32030010005 -  Adecuar 37 escenarios deportivos para la primera infancia en el periodo de gobiernno</v>
          </cell>
        </row>
        <row r="157">
          <cell r="A157" t="str">
            <v>32030010006 -  En el período 2012-2015, 6,000 Niños y niñas de primera infancia participan en procesos de promoción de los derechos culturales a través de lenguajes expresivos y estéticos</v>
          </cell>
        </row>
        <row r="158">
          <cell r="A158" t="str">
            <v>32030010007 -  Todas las IPS que atienden partos en el municipio  de Cali, en un periodo de 4 años  implementan la estrategia IAMI</v>
          </cell>
        </row>
        <row r="159">
          <cell r="A159" t="str">
            <v xml:space="preserve">32030010008 -  A diciembre de 2015 habrán aumentado a 97% las coberturas de vacunación por monitoreos rápidos </v>
          </cell>
        </row>
        <row r="160">
          <cell r="A160" t="str">
            <v xml:space="preserve">32030010009 -  Durante el cuatrienio el 95% de las entidades vacunadoras cumplen con los lineamientos del Ministerio de Salud y Protección Social    </v>
          </cell>
        </row>
        <row r="161">
          <cell r="A161" t="str">
            <v>32030010010 -  a diciembre de 2015 el 80% de los RN en las IPS de Cali son amamantados en la primera hora de nacimiento</v>
          </cell>
        </row>
        <row r="162">
          <cell r="A162" t="str">
            <v>32030010011 -  Fomentar la recreación que beneficia a 7000 niños de primera infancia en el periodo de gobierno</v>
          </cell>
        </row>
        <row r="163">
          <cell r="A163" t="str">
            <v>32030020001 -  Fomentar la recreación y la cultura con vacaciones recreativas que beneficie 80,000 niños en el periodo de gobierno</v>
          </cell>
        </row>
        <row r="164">
          <cell r="A164" t="str">
            <v>32030020002 -  Fomentar el buen uso del tiempo libre beneficiando a 60000  AJ en el periodo de gobierno</v>
          </cell>
        </row>
        <row r="165">
          <cell r="A165" t="str">
            <v>32030020003 -  En el período 2012-2015 se apoya la atención integral con enfoque psicosocial de 3,981 Niños, Niñas, Adolescentes y Jóvenes hasta los 17 años (NNAJ) con enfoque psicosocial en los hogares de paso</v>
          </cell>
        </row>
        <row r="166">
          <cell r="A166" t="str">
            <v>32030020004 -  En el período 2012-2015 se promueve la participación de 5.000 adolescentes y jóvenes en actividades artísticas y culturales</v>
          </cell>
        </row>
        <row r="167">
          <cell r="A167" t="str">
            <v>32030020005 -  En el período 2012-2015, se promueve la participación de 400 Jóvenes en procesos de desarrollo social y desaprendizaje de la violencia</v>
          </cell>
        </row>
        <row r="168">
          <cell r="A168" t="str">
            <v>32030020006 -  En el período 2012-2015, NNAJ son vinculados a procesos de prevención de la violencia familiar y sexual (casa de justicia y Comisarias de familia)</v>
          </cell>
        </row>
        <row r="169">
          <cell r="A169" t="str">
            <v>32030020007 -  A diciembre de 2015 se cuenta con 10 zonas de orientación escolar  para la prevención de las violencias, el consumo de SPA, la promoción de la convivencia y la sexualidad responsable en las instituciones educativas</v>
          </cell>
        </row>
        <row r="170">
          <cell r="A170" t="str">
            <v>32030020008 -  A diciembre de 2012 se Evalúa y ajusta la Política Pública de Juventud</v>
          </cell>
        </row>
        <row r="171">
          <cell r="A171" t="str">
            <v>32030020009 -  En el período 2012-2015, se realizan 72 Jornadas de integración orientadas a familias vulnerables en las comunas 2, 4, 5, 8, 9, 11, 12, 17, 19 y 22</v>
          </cell>
        </row>
        <row r="172">
          <cell r="A172" t="str">
            <v>32030020010 -  En el período 2012-2015 se Intervienn 1800 jóvenes a través de talleres vivenciales en aprendizaje experiencial para la transformación de imaginarios y prácticas en las comunas 4, 5, 8, 9, 10, 11, 12, 17 y 19 .</v>
          </cell>
        </row>
        <row r="173">
          <cell r="A173" t="str">
            <v>32030020011 -  En el período 2012-2015 se Capacitan 100 integrantes de la red del buen trato y líderes comunitarios en las comunas 2, 4, 5, 8, 9, 10, 11, 12, 17 y 19</v>
          </cell>
        </row>
        <row r="174">
          <cell r="A174" t="str">
            <v>32030020012 -  En el período 2012-2015 se Capacitan 2,200 personas en el reconocimiento, la  restitución y la promoción de sus derechos y deberes, en el marco de la política pública de primera infancia, infancia y adolescencia en las comunas 2, 4, 5, 8, 9</v>
          </cell>
        </row>
        <row r="175">
          <cell r="A175" t="str">
            <v>32030020013 -  En el período 2012-2015 se Capacitan 100 integrantes del Comité de Planeación, lideres comunitarios, Grupos de Base de la Comuna y ONG’s como actores multiplicadores en temas de prevención del consumo de sustancias psicoactivas en la comuna</v>
          </cell>
        </row>
        <row r="176">
          <cell r="A176" t="str">
            <v xml:space="preserve">32030030001 -  En el período 2012-2015 se fortalen y apoya en sus iniciativas comunitarias a 150 Organizaciones de mujeres </v>
          </cell>
        </row>
        <row r="177">
          <cell r="A177" t="str">
            <v>32030030002 -  En el período 2013-2015 se Implementa una estrategia permanente de Información Educación y Comunicación (IEC) en el reconocimiento y fomento de acciones afirmativas para la diversidad sexual</v>
          </cell>
        </row>
        <row r="178">
          <cell r="A178" t="str">
            <v>32030030003 -  A noviembre de 2015, 200 servidores públicos capacitados en capacidades y formación para el desempeño de la función pública con perspectiva de género</v>
          </cell>
        </row>
        <row r="179">
          <cell r="A179" t="str">
            <v xml:space="preserve">32030030004 -  En el período 2012-2015 se formula e implementa una Política pública de población con diversidad sexual y de género </v>
          </cell>
        </row>
        <row r="180">
          <cell r="A180" t="str">
            <v>32030030005 -  En el período 2012-2015 se Promueve la participación de 300 mujeres en procesos artísticos y culturales</v>
          </cell>
        </row>
        <row r="181">
          <cell r="A181" t="str">
            <v>32030040001 -  En el período 2012-2015 se realiza atención integral a 1525 mujeres víctimas de violencia basada en genero, familiar y sexual</v>
          </cell>
        </row>
        <row r="182">
          <cell r="A182" t="str">
            <v>32030040002 -  En el período 2012-2013 se elabora un Protocolo para la atención a mujeres Víctimas de violencias</v>
          </cell>
        </row>
        <row r="183">
          <cell r="A183" t="str">
            <v>32030040003 -  En el período 2012-2015 hay 18 Instituciones Educativas Oficiales con PEI revisado con enfoque de género y de prevención de las violencias contra las Mujeres</v>
          </cell>
        </row>
        <row r="184">
          <cell r="A184" t="str">
            <v>32030040004 -  A diciembre de 2015 se ha desarrollado una Estrategia IEC con talentos locales para la promoción y prevención de la violencia contra la Mujer</v>
          </cell>
        </row>
        <row r="185">
          <cell r="A185" t="str">
            <v>32030050001 -  En el período 2012-2015 se fortalecen las capacidades humanas y saberes ancestrales de 5,200 Personas de los grupos étnicos (Afros e indígenas)</v>
          </cell>
        </row>
        <row r="186">
          <cell r="A186" t="str">
            <v xml:space="preserve">32030050002 -  En el período 2012-2015 se revisan 6 Planes de vida de los pueblos indígenas y se formula el del consejo comunitario  Playa renaciente </v>
          </cell>
        </row>
        <row r="187">
          <cell r="A187" t="str">
            <v>32030050003 -  En el período 2012-2015 se vicnulan 12,134 Estudiantes de grupos étnicos afrodescendientes al sistema educativo regular</v>
          </cell>
        </row>
        <row r="188">
          <cell r="A188" t="str">
            <v>32030050004 -  En el período 2012-2015 se vinculan 887 Estudiantes de grupos étnicos indígenas al sistema educativo regular</v>
          </cell>
        </row>
        <row r="189">
          <cell r="A189" t="str">
            <v>32030050005 -  Fomentar la recreación en la preservación de los juegos tradicionales para beneficiar a 7,500 indígenas en el periodo de gobierno</v>
          </cell>
        </row>
        <row r="190">
          <cell r="A190" t="str">
            <v>32030050006 -  800 Niños y niñas de primera infancia, adolescentes y jóvenes  pertenecientes a grupos étnicos participan en  la recuperación y preservación de las tradiciones a través de actividades de promoción y difusión de actividades artísticas y cult</v>
          </cell>
        </row>
        <row r="191">
          <cell r="A191" t="str">
            <v>32030050007 -  implementar cuatro estrategias para el reconocimiento, valoración e inclusión de la diversidad étnica y cultural den  Santiago de Cali</v>
          </cell>
        </row>
        <row r="192">
          <cell r="A192" t="str">
            <v xml:space="preserve">32030050008 -  Realizar un proyecto de investigación de identidad étnica y lenguas nativas de los grupos de especial interés </v>
          </cell>
        </row>
        <row r="193">
          <cell r="A193" t="str">
            <v xml:space="preserve">32030050009 -  capacitar a  1000 personas de las organizaciones de grupos étnicos y de especial interés , ,durante  la  presente  administración </v>
          </cell>
        </row>
        <row r="194">
          <cell r="A194" t="str">
            <v xml:space="preserve">32030050010 -  Realizar 20 actividades culturales  para el fortalecimiento de la identidad de las parcialidades y autoridades indígenas.  </v>
          </cell>
        </row>
        <row r="195">
          <cell r="A195" t="str">
            <v>32030050011 -  Crear una escuela de derecho propio de los pueblos indígenas del municipio de Santiago de Cali, durante la  presente  administración</v>
          </cell>
        </row>
        <row r="196">
          <cell r="A196" t="str">
            <v>32030050012 -  Realizar acciones  de  fortalecimiento  y recuperación  de  identidad  cultural  con  seis pueblos indígena  del Municipio de Cal</v>
          </cell>
        </row>
        <row r="197">
          <cell r="A197" t="str">
            <v xml:space="preserve">32030050013 -  En el período 2012-2015, 69 Instituciones Educativas Oficiales implementan la cátedra de estudios afrocolombianos </v>
          </cell>
        </row>
        <row r="198">
          <cell r="A198" t="str">
            <v>32030060001 -  En el período 2012-2015 se atienden integralmente 1,400 Adultos mayores con enfoque psicosocial</v>
          </cell>
        </row>
        <row r="199">
          <cell r="A199" t="str">
            <v>32030060002 -  En el período 2012-2015 se crean 2 Espacios de atención integral para los adultos mayores (Centros día)</v>
          </cell>
        </row>
        <row r="200">
          <cell r="A200" t="str">
            <v>32030060003 -  A diciembre de 2014 se realizan actividades culturales y artísticas  con 80 Adultos mayores de los Centros  de atención día</v>
          </cell>
        </row>
        <row r="201">
          <cell r="A201" t="str">
            <v>32030060004 -  En el período 2012-2015 hay 1,000 Adultos mayores con apoyo para su movilidad en el Sistema de Transporte Masivo con puntaje hasta 39.32</v>
          </cell>
        </row>
        <row r="202">
          <cell r="A202" t="str">
            <v>32030060005 -  A diciembre de 2014  hay 37 Grupos organizados de Adultos mayores por comuna y corregimiento que participan en actividades artísticas y culturales</v>
          </cell>
        </row>
        <row r="203">
          <cell r="A203" t="str">
            <v>32030060006 -  A diciembre de 2013 está Formulada la Política Pública para el Adulto mayor</v>
          </cell>
        </row>
        <row r="204">
          <cell r="A204" t="str">
            <v>32030060007 -  A diciembre de 2013 se presenta el Proyecto de Acuerdo al Concejo Municipal que permita la creación de la Estampilla Pro Adulto Mayor, a fin de crear los Centros de Bienestar del Adulto Mayor y los Centros DÍA</v>
          </cell>
        </row>
        <row r="205">
          <cell r="A205" t="str">
            <v>32030060008 -  Fomentar la recreación mediante la relización de 4 eventos para el adulto mayor en el periodo de gobierno</v>
          </cell>
        </row>
        <row r="206">
          <cell r="A206" t="str">
            <v>32030060009 -  En el período 2012-2015 se Atienden integralmente a 500 adultos mayores con enfoque diferencial</v>
          </cell>
        </row>
        <row r="207">
          <cell r="A207" t="str">
            <v>32030070001 -  Fomentar la recreación que beneficia a 2,800 personas con discapacitados en el periodo de gobierno</v>
          </cell>
        </row>
        <row r="208">
          <cell r="A208" t="str">
            <v>32030070002 -  promover la participación de  550 personas con discapacidad en actividades de promoción y difusión de actividades artísticas y culturales</v>
          </cell>
        </row>
        <row r="209">
          <cell r="A209" t="str">
            <v>32030070003 -  En el período 2012-2015 se incrementa en 1,788 las Personas con discapacidad que reciben ayudas técnicas</v>
          </cell>
        </row>
        <row r="210">
          <cell r="A210" t="str">
            <v>32030070004 -  En el período 2012-2015 se vinculan 255 Niños, niñas, adolescentes y jóvenes con discapacidad al sistema educativa oficial consolidado</v>
          </cell>
        </row>
        <row r="211">
          <cell r="A211" t="str">
            <v>32030070005 -  En el período 2012-2015 hay 700 Personas con discapacidad con apoyo para su movilidad urbana en el Sistema de Transporte Masivo – MIO</v>
          </cell>
        </row>
        <row r="212">
          <cell r="A212" t="str">
            <v xml:space="preserve">32030070006 -  En el período 2012-2015 el 60% de Vehículos del Sistema Integrado de Transporte Masivo MIO está adecuado para el uso de personas con discapacidad </v>
          </cell>
        </row>
        <row r="213">
          <cell r="A213" t="str">
            <v xml:space="preserve">32030070007 -  En el período 2012-2015 el 100% de la Infraestructura del  Sistema Integrado de Transporte Masivo MIO está adecuada para el uso de personas con discapacidad </v>
          </cell>
        </row>
        <row r="214">
          <cell r="A214" t="str">
            <v>32030070008 -  En el período 2012-2015 el 60% de Vehículos del Sistema Integrado de Transporte Masivo MIO está adecuado para el uso de personas con discapacidad en óptimas condiciones de operatividad, que cumplen los estándares de calidad (certificación I</v>
          </cell>
        </row>
        <row r="215">
          <cell r="A215" t="str">
            <v>32030070009 -  En el período 2012-2015 el 100% de vehículos adquiridos del Sistema Integrado de Transporte Masivo MIO están adecuados para el uso de personas con discapacidad</v>
          </cell>
        </row>
        <row r="216">
          <cell r="A216" t="str">
            <v>32030070010 -  En el período 2012-2015 el 100% del Personal operativo de Metrocali está capacitado en atención al cliente, sensibilización y toma de conciencia, enfocados en atención a población vulnerable (personas con discapacidad, adultos mayores, muje</v>
          </cell>
        </row>
        <row r="217">
          <cell r="A217" t="str">
            <v>32030070011 -  En el período 2012-2015 se atienden 3,000 personas con discapacidad y sus familias</v>
          </cell>
        </row>
        <row r="218">
          <cell r="A218" t="str">
            <v xml:space="preserve">32030080001 -  En el período 2012-2015 se implementa un hogar de paso de habitante de y en calle </v>
          </cell>
        </row>
        <row r="219">
          <cell r="A219" t="str">
            <v>32040010001 -  Formular el Plan Decenal de Cultura, durante la presente administración</v>
          </cell>
        </row>
        <row r="220">
          <cell r="A220" t="str">
            <v>32040010002 -  realizar la capacitación de 3000 personas en diversas expresiones  y manifestaciones culturales y artísticas</v>
          </cell>
        </row>
        <row r="221">
          <cell r="A221" t="str">
            <v xml:space="preserve">32040010003 -  promover  la  conformación de  siete semilleros de Expresiones artísticas de folclor del Pacífico </v>
          </cell>
        </row>
        <row r="222">
          <cell r="A222" t="str">
            <v>32040010004 -  Promover  la conformación de  20 semilleros de salsa  durante  la  presente  administración</v>
          </cell>
        </row>
        <row r="223">
          <cell r="A223" t="str">
            <v xml:space="preserve">32040010005 -  Fortalecer 59 Bibliotecas con Dotaciones y Colecciones, durante la presente administración.   </v>
          </cell>
        </row>
        <row r="224">
          <cell r="A224" t="str">
            <v>32040010006 -  Realizar 293 eventos artísticos y culturales durante la  presente  administración</v>
          </cell>
        </row>
        <row r="225">
          <cell r="A225" t="str">
            <v>32040010007 -  Promover la creación e implementación  de  50 creaciones culturales  durante la presente  administración</v>
          </cell>
        </row>
        <row r="226">
          <cell r="A226" t="str">
            <v>32040010008 -  Promover la participación de 23,730 personas en procesos de formación artística (danza, cine, teatro, música, poesía, pintura) en comunas y corregimientos, durante la  presente  administración</v>
          </cell>
        </row>
        <row r="227">
          <cell r="A227" t="str">
            <v xml:space="preserve">32040010009 -  Realizar 10 programas de formación artística desarrollados en comunas y corregimientos (danza, cine, teatro, música, poesía, pintura), en la  administración actual </v>
          </cell>
        </row>
        <row r="228">
          <cell r="A228" t="str">
            <v>32040010010 -  Crear y fortalecer 80 grupos culturales en todas las manifestaciones culturales y  artísticas,  en la  administración  actual.</v>
          </cell>
        </row>
        <row r="229">
          <cell r="A229" t="str">
            <v>32040010011 -  Realizar la producción  de 37  audiovisuales en las comunas y corregimientos, d el  municipio,  en la  presente  administración</v>
          </cell>
        </row>
        <row r="230">
          <cell r="A230" t="str">
            <v xml:space="preserve">32040010012 -  En 2014 se realiza la caracterización de los  artistas, empresas, compañías y gestores culturales de la ciudad,  en la  presente  administración </v>
          </cell>
        </row>
        <row r="231">
          <cell r="A231" t="str">
            <v xml:space="preserve">32040010013 -  Promover la  conformación de  tres  semilleros de Orquestas de Música Clásica, con la participación de NNAJ </v>
          </cell>
        </row>
        <row r="232">
          <cell r="A232" t="str">
            <v xml:space="preserve">32040010014 -  Crear y  fortalecer  tres orquestas filarmónicas con la participación  de NNAJ  durante la actual administración  </v>
          </cell>
        </row>
        <row r="233">
          <cell r="A233" t="str">
            <v xml:space="preserve">32040020001 -  Diseñar  e  implementar  5 programas de conservación, intervención  y difusión del patrimonio cultural durante  la  presente administración </v>
          </cell>
        </row>
        <row r="234">
          <cell r="A234" t="str">
            <v xml:space="preserve">32040020002 -  Crear  e implementar un Centro de  memoria étnico  </v>
          </cell>
        </row>
        <row r="235">
          <cell r="A235" t="str">
            <v xml:space="preserve">32040020003 -  Desarrollar  dos programas de circulación de las manifestaciones culturales   </v>
          </cell>
        </row>
        <row r="236">
          <cell r="A236" t="str">
            <v>32040020004 -  Identificar  15 patrimonios materiales e inmateriales, hasta  diciembre   de  2015</v>
          </cell>
        </row>
        <row r="237">
          <cell r="A237" t="str">
            <v xml:space="preserve">32040020005 -  Implementar el plan Especial de Manejo y Protección de la Hacienda Cañasgordas </v>
          </cell>
        </row>
        <row r="238">
          <cell r="A238" t="str">
            <v xml:space="preserve">32040020006 -  En el período 2012 - 2015, se formula e implementa el Plan Especial de Manejo y Protección del Centro Histórico de Cali </v>
          </cell>
        </row>
        <row r="239">
          <cell r="A239" t="str">
            <v>32040020007 -  Crear cuatro  nuevas  esculturas,  con el desarrollo de concursos  de artes plasticas</v>
          </cell>
        </row>
        <row r="240">
          <cell r="A240" t="str">
            <v xml:space="preserve">32040030001 -  Implementar tres programas de protección, fortalecimiento, conservación, difusión y circulación  de manifestaciones culturales de la diferentes colonias </v>
          </cell>
        </row>
        <row r="241">
          <cell r="A241" t="str">
            <v xml:space="preserve">32040030002 -  Construir y fortalecer la agenda cultural del pacífico </v>
          </cell>
        </row>
        <row r="242">
          <cell r="A242" t="str">
            <v xml:space="preserve">32050010001 -  A diciembre de 2015 se han realizado 96 Consejos de Seguridad para direccionamiento de la política de seguridad </v>
          </cell>
        </row>
        <row r="243">
          <cell r="A243" t="str">
            <v xml:space="preserve">32050010002 -  A diciembre de 2015 se han realizado 1460 Informes de análisis sobre el delito </v>
          </cell>
        </row>
        <row r="244">
          <cell r="A244" t="str">
            <v xml:space="preserve">32050020001 -  A diciembre de 2012 se han incrementado a 329 los Cuadrantes de Policía </v>
          </cell>
        </row>
        <row r="245">
          <cell r="A245" t="str">
            <v>32050020002 -  A diciembre de 2015 se ha ejecutado el 100% del Ppto asignado para Sostenimiento de la movilidad ejecutado</v>
          </cell>
        </row>
        <row r="246">
          <cell r="A246" t="str">
            <v xml:space="preserve">32050020003 -  A diciembre de 2015 se han recuperado o acondicionado 11 Estaciones de policía </v>
          </cell>
        </row>
        <row r="247">
          <cell r="A247" t="str">
            <v xml:space="preserve">32050020004 -  A diciembre de 2015 se han instalad 1000 Cámaras de seguridad para el monitoreo del delito </v>
          </cell>
        </row>
        <row r="248">
          <cell r="A248" t="str">
            <v xml:space="preserve">32050020005 -  A diciembre de 2015 se ha ejecutado el 100% del Ppto asignado para Mantenimiento del sistema de video vigilancia  </v>
          </cell>
        </row>
        <row r="249">
          <cell r="A249" t="str">
            <v>32050020006 -  A diciembre de 2015 se han reconocido  Reconocimientos a los mejores cuadrantes de seguridad por buenas prácticas policiales</v>
          </cell>
        </row>
        <row r="250">
          <cell r="A250" t="str">
            <v>3205003001 -  A diciembre de 2015 se han creado 5  Inspecciones nuevas para atención de comisiones civiles</v>
          </cell>
        </row>
        <row r="251">
          <cell r="A251" t="str">
            <v>3205003002 -  A diciembre de 2015 se han incorparado 3 Comisarías permanentes para la atención de la violencia intrafamiliar</v>
          </cell>
        </row>
        <row r="252">
          <cell r="A252" t="str">
            <v>3205003003 -  A diciembre de 2015 se ha realizado el Mantenimiento, fortalecimiento y dotación en 11 comisarías de familia</v>
          </cell>
        </row>
        <row r="253">
          <cell r="A253" t="str">
            <v>3205003004 -  A diciembre de 2013 se cuentan con 3 Casas de Justicia ofertando atención con jueces de paz</v>
          </cell>
        </row>
        <row r="254">
          <cell r="A254" t="str">
            <v>3205003005 -  A diciembre de 2015 se han realizado 8 Programas de Resocialización carcelaria (incluye centro de menores)</v>
          </cell>
        </row>
        <row r="255">
          <cell r="A255" t="str">
            <v>3205003006 -  A diciembre de 2015 se han ralizado el Mejoramiento y dotación de 2 Centros carcelarios</v>
          </cell>
        </row>
        <row r="256">
          <cell r="A256" t="str">
            <v>3205003007 -  A diciembre de 2015 se ha apoyado año a año el mejoramiento de la infraestructura del centro menor infractor</v>
          </cell>
        </row>
        <row r="257">
          <cell r="A257" t="str">
            <v>3205003008 -  A diciembre de 2015 se ha desarrolado 1 Programa gradualidad de la pena , justicia reparativa para menores infractores</v>
          </cell>
        </row>
        <row r="258">
          <cell r="A258" t="str">
            <v xml:space="preserve">3205003009 -  A diciembre de 2014, al menos 214 Jueces de paz brindaran  atención en espacios de acceso  comunitario adecuadamente dotados y apoyados </v>
          </cell>
        </row>
        <row r="259">
          <cell r="A259" t="str">
            <v xml:space="preserve">3205003010 -  A ciicembre de 2014, al menos 214 Jueces de paz estaran capacitados en metodologías alternativas de reconciliación y reparación </v>
          </cell>
        </row>
        <row r="260">
          <cell r="A260" t="str">
            <v>3205003011 -  A ciicembre de 2015 se realizan 4 Convenios para apoyar producción comunitaria de material audiovisual, multimedia, artístico y gráfico sobre temáticas de  convivencia y cultura de la legalidad con participación de organizaciones de base</v>
          </cell>
        </row>
        <row r="261">
          <cell r="A261" t="str">
            <v xml:space="preserve">3205003012 -  A diciembre de 2015, se haran 4 Concursos anuales CALIDA  barrios y vecinos calidosos </v>
          </cell>
        </row>
        <row r="262">
          <cell r="A262" t="str">
            <v xml:space="preserve">3205003013 -  A diicembre  de 2014,  44 estudiantes de pasantía apoyan la labor de jueces de paz </v>
          </cell>
        </row>
        <row r="263">
          <cell r="A263" t="str">
            <v>32050040001 -  Diseñar  e  implementar cinco  estrategias de cultura ciudadana definidas e implementadas</v>
          </cell>
        </row>
        <row r="264">
          <cell r="A264" t="str">
            <v xml:space="preserve">32050040002 -  A diciembre de 2015 se han reconocido y premiado 12 Iniciativas ciudadanas de promoción de la seguridad y la convivencia </v>
          </cell>
        </row>
        <row r="265">
          <cell r="A265" t="str">
            <v>32050040003 -  A diciembre de 2015 se ha desarrollado 1 Estrategias IEC orientadas a desestimular el delito y fortalecer actitudes ciudadanas honestas y responsables</v>
          </cell>
        </row>
        <row r="266">
          <cell r="A266" t="str">
            <v>32050040004 -  A diciembre de 2012 se ha implementado el 100% del comparendo ambiental</v>
          </cell>
        </row>
        <row r="267">
          <cell r="A267" t="str">
            <v xml:space="preserve">32050040005 -  A diciembre de 2015 se han realizado 24700 visitas de Inspección, control y vigilancia a establecimientos públicos. </v>
          </cell>
        </row>
        <row r="268">
          <cell r="A268" t="str">
            <v>32050040006 -  A diciembre de 2015 80 Operativos de control al consumo de licor por parte de menores en establecimientos</v>
          </cell>
        </row>
        <row r="269">
          <cell r="A269" t="str">
            <v>32050040007 -  A diciembre de 2015 se han realizdo 240 Operativos Protección derechos del consumidor</v>
          </cell>
        </row>
        <row r="270">
          <cell r="A270" t="str">
            <v>32050040008 -  A diciembre de 2013 se ha Implementado una Política Pública de los Juegos de Suerte y Azar en el Municipio de Santiago de Cali</v>
          </cell>
        </row>
        <row r="271">
          <cell r="A271" t="str">
            <v xml:space="preserve">32050050001 -  A diciembre de 2015 se han elaborado e implementado 22 Planes de Seguridad por comuna </v>
          </cell>
        </row>
        <row r="272">
          <cell r="A272" t="str">
            <v xml:space="preserve">32050050002 -  A diciembre de 2015 se han vinculado a programa de rumba sana 400 Establecimientos y medios ambulantes de diversión (chivas rumberas y similares) </v>
          </cell>
        </row>
        <row r="273">
          <cell r="A273" t="str">
            <v xml:space="preserve">32050050003 -  A diciembre de 2015 se ha implementado una IEC para promover la Rumba Responsable </v>
          </cell>
        </row>
        <row r="274">
          <cell r="A274" t="str">
            <v xml:space="preserve">32050050004 -  A diciembre de 2015 se han conformado 190 Frentes de Seguridad Barrial </v>
          </cell>
        </row>
        <row r="275">
          <cell r="A275" t="str">
            <v>32050050005 -  A diciembre de 2015 se han vinculado 300 empresas al programa de Empresas Seguras</v>
          </cell>
        </row>
        <row r="276">
          <cell r="A276" t="str">
            <v>32050050006 -  A diciembre de 2015 se ha implementado uan Estrategia IEC para el fomento del auto cuidado</v>
          </cell>
        </row>
        <row r="277">
          <cell r="A277" t="str">
            <v>32050050007 -  A diciembre de 2013 se ha establecido un plan de seguridad en el interior del Sistema de Transporte Masivo de Occidente -MIO</v>
          </cell>
        </row>
        <row r="278">
          <cell r="A278" t="str">
            <v xml:space="preserve">32060010001 -  A diicembre de 2015,  al memos 15 Servicios operando en las rutas de atención y reparación  a las víctimas del conflicto </v>
          </cell>
        </row>
        <row r="279">
          <cell r="A279" t="str">
            <v xml:space="preserve">32060010002 -  A diciembre de 2013, se implementa un  Sistema integrado de información que posibilite la sistematización, caracterización, seguimiento, control y evaluación de los procesos de atención integral a  la población víctima del conflicto armado </v>
          </cell>
        </row>
        <row r="280">
          <cell r="A280" t="str">
            <v>32060010003 -  A diciembre de 2015, estan implementadas 3 Nuevas modalidades de atención humanitaria de urgencia y protección a víctimas del conflicto armado interno</v>
          </cell>
        </row>
        <row r="281">
          <cell r="A281" t="str">
            <v>32060010004 -  A diciembre de 2013, se realizan 4 procesos de memorias históricas de víctimas del conflicto interno asentadas en Cali documentados</v>
          </cell>
        </row>
        <row r="282">
          <cell r="A282" t="str">
            <v>32060010005 -  A diciembre de 2015, estan implementados 4  Puntos de toma de declaraciones de hechos victimizantes en las instalaciones del centro local de atención a víctimas del conflicto armado interno operando</v>
          </cell>
        </row>
        <row r="283">
          <cell r="A283" t="str">
            <v>32060010006 -  A  diciembre de 2015, esta implementado un Servicio de Call Center Automatizado para incrementar la capacidad de orientación y asignación telefónica de citas dentro del centro local de atención a víctimas del conflicto armado interno implem</v>
          </cell>
        </row>
        <row r="284">
          <cell r="A284" t="str">
            <v>32060010007 -  A diciembre de 2015, estan implementados 3 Puntos de información y orientación a las víctimas del conflicto armado interno implementados (Ladera, Distrito de Aguablanca y Terminal de Transporte)</v>
          </cell>
        </row>
        <row r="285">
          <cell r="A285" t="str">
            <v xml:space="preserve">32060010008 -  A diciembre de 2014, se implementa un  Plan de prevención y contingencia para el manejo del desplazamiento forzado masivo hacia la ciudad de Cali por razón del conflicto armado interno Departamentos de mayor expulsión: Nariño, Cauca, Valle </v>
          </cell>
        </row>
        <row r="286">
          <cell r="A286" t="str">
            <v xml:space="preserve">32060020001 -  En el período 2012-2015 se han incrementado en 566 las Soluciones de vivienda nueva, usada o autoconstruida entregadas a la población víctima del conflicto armado interno  asentada en la ciudad de Santiago de Cali </v>
          </cell>
        </row>
        <row r="287">
          <cell r="A287" t="str">
            <v>32060020002 -  Al 2015 el 75% de las personas victimas del conflicto armado que hayan sido caracterizadas  y acepten la atencion psicosocial  reciban la atencion emocional y social ( psicosocial)</v>
          </cell>
        </row>
        <row r="288">
          <cell r="A288" t="str">
            <v>32060020003 -  En el período 2012-2015 se aumenta en 2,107 el Mejoramiento de los procesos de atención educativa a la población escolar víctima del conflicto armado matriculados en instituciones educativas oficiales y de cobertura educativa</v>
          </cell>
        </row>
        <row r="289">
          <cell r="A289" t="str">
            <v>32060020004 -  A diciembre de 2015,  se implementan almenos 4 Alianzas público – privadas para promover la capacidad de generación de ingresos y empleabilidad para las víctimas del conflicto armado interno firmadas</v>
          </cell>
        </row>
        <row r="290">
          <cell r="A290" t="str">
            <v>32060020005 -  En el período 2012-2015 se Realiza alfabetización al 100% de la población analfabeta víctima del conflicto interno asentada en Santiago de Cali</v>
          </cell>
        </row>
        <row r="291">
          <cell r="A291" t="str">
            <v>32060020006 -  Implementar 4 escuelas de inicicación y formación deportiva para niños víctimas del conflicto armado</v>
          </cell>
        </row>
        <row r="292">
          <cell r="A292" t="str">
            <v>32060020007 -  n el período 2012-2015 se realizan Realizar  cuatro procesos formativos para identificar y promover  talentos culturales entre la población  vìctima del conflicto  armado</v>
          </cell>
        </row>
        <row r="293">
          <cell r="A293" t="str">
            <v>32060030001 -  A diciembre de 2015, se implementan al menos 3 Rutas de acceso a procedimientos a seguir para acceder a protección y denuncia de afectaciones a la vida, la libertad y la integridad implementadas</v>
          </cell>
        </row>
        <row r="294">
          <cell r="A294" t="str">
            <v xml:space="preserve">32060030002 -  A diciembre de 2015, se vinculan al menos 3000 desmovilizados  a prestación de Servicio social  </v>
          </cell>
        </row>
        <row r="295">
          <cell r="A295" t="str">
            <v>32060030003 -  A diciembre de 2015, se implementan 4 Rutas de Orientación para el acceso de la población desmovilizada a la oferta de la Alcaldía y otras entidades nacionales del área social con presencia en el municipio</v>
          </cell>
        </row>
        <row r="296">
          <cell r="A296" t="str">
            <v xml:space="preserve">32070010001 -  A diciembre de 2013 se Formula la política pública municipal de Participación Ciudadana  </v>
          </cell>
        </row>
        <row r="297">
          <cell r="A297" t="str">
            <v>32070010002 -  En el período 2012 - 2015, se capacitan 3,500 Personas en la Escuela de Formación de Liderazgo Participativo</v>
          </cell>
        </row>
        <row r="298">
          <cell r="A298" t="str">
            <v>32070010003 -  En el período 2012 - 2015, se realizan 10 Proceso de elecciones y conformación  de organización territorial</v>
          </cell>
        </row>
        <row r="299">
          <cell r="A299" t="str">
            <v xml:space="preserve">32070010004 -  En el período 2012 - 2015, se diseñan e implementan 5 Estrategias, instrumentos y mecanismos de participación con el objeto  incentivar la participación y organización ciudadana. </v>
          </cell>
        </row>
        <row r="300">
          <cell r="A300" t="str">
            <v xml:space="preserve">32070010005 -  En el período 2012 - 2015, se realiza un Programa de capacitación a los  jóvenes  caleños interesados en lo público, a  través  del conocimiento de herramientas para el ejercicio de control social </v>
          </cell>
        </row>
        <row r="301">
          <cell r="A301" t="str">
            <v xml:space="preserve">33010010001 -  En el período 2012 - 2015, se apoyan 6 Programas de fomento y fortalecimiento de clústeres existentes en la ciudad </v>
          </cell>
        </row>
        <row r="302">
          <cell r="A302" t="str">
            <v>33010010002 -  En el período 2012 - 2015, se Fortalecen 5 clústeres regionales en el Departamento del Valle del Cauca con Beneficios para Cali</v>
          </cell>
        </row>
        <row r="303">
          <cell r="A303" t="str">
            <v>33010010003 -  En el período 2012 - 2015, se apoya la construcción de 3 Alianzas para Centros de  Innovación en clústeres de Cali</v>
          </cell>
        </row>
        <row r="304">
          <cell r="A304" t="str">
            <v>33010010004 -  En el período 2012 - 2015, se Fortalecen 14 programas de industrias culturales</v>
          </cell>
        </row>
        <row r="305">
          <cell r="A305" t="str">
            <v>33010010005 -  En el período 2013 - 2015, se Implementa el Centro de Servicio Público de Empleo</v>
          </cell>
        </row>
        <row r="306">
          <cell r="A306" t="str">
            <v>33010020001 -  En el período 2012 - 2015, 500 Empresas MiPymes mejoran integralmente sus capacidades competitivas con instrumentos de fortalecimiento empresarial</v>
          </cell>
        </row>
        <row r="307">
          <cell r="A307" t="str">
            <v>33010020002 -  En el período 2012 - 2015, se establecen 4 Centros de desarrollo empresarial</v>
          </cell>
        </row>
        <row r="308">
          <cell r="A308" t="str">
            <v>33010030001 -  En el período 2012 - 2015, se Diseña e implementa la institucionalidad para el desarrollo / competitividad</v>
          </cell>
        </row>
        <row r="309">
          <cell r="A309" t="str">
            <v xml:space="preserve">33020010001 -  En el período 2012 - 2015, se apoyan y fortalecen 500 MiPymes </v>
          </cell>
        </row>
        <row r="310">
          <cell r="A310" t="str">
            <v xml:space="preserve">33020010002 -  En el período 2012 - 2015, hay 15 Pymes rurales con acompañamiento gerencial y técnico </v>
          </cell>
        </row>
        <row r="311">
          <cell r="A311" t="str">
            <v>33020010003 -  A diciembre de 2015 se realiza una Alianza público-privada con almacenes de cadena para el mercadeo de la producción local de Mipymes</v>
          </cell>
        </row>
        <row r="312">
          <cell r="A312" t="str">
            <v>33020020001 -  En el período 2012 - 2015, se apoyan 200 Mipymes en el proceso de formalización</v>
          </cell>
        </row>
        <row r="313">
          <cell r="A313" t="str">
            <v>33020020002 -  En el período 2012 - 2015, se realiza la Gestión para la constitución de 4 alianzas de microcréditos</v>
          </cell>
        </row>
        <row r="314">
          <cell r="A314" t="str">
            <v>33030010001 -  En el período 2012 - 2015, se elaboran 10 Alianzas nacionales e internacionales para la promoción y fomento del emprendimiento</v>
          </cell>
        </row>
        <row r="315">
          <cell r="A315" t="str">
            <v>33030010002 -  En el período 2012 - 2015, se da Asistencia técnica y acompañamiento empresarial y estratégico a 300 iniciativas de emprendimiento</v>
          </cell>
        </row>
        <row r="316">
          <cell r="A316" t="str">
            <v>33030010003 -  En el período 2012 - 2015 hay 5 Instituciones educativas oficiales que implementan la cátedra de emprendimiento e innovación</v>
          </cell>
        </row>
        <row r="317">
          <cell r="A317" t="str">
            <v>33030010004 -  En el período 2012 - 2015, se capacitan 10,000 Personas en competencias para el trabajo y el emprendimiento en convenio con el SENA</v>
          </cell>
        </row>
        <row r="318">
          <cell r="A318" t="str">
            <v>33030010005 -  En el período 2012 - 2015, se realizan 3 Ferias empresariales para estudiantes de educación media de las instituciones educativas oficiales</v>
          </cell>
        </row>
        <row r="319">
          <cell r="A319" t="str">
            <v>33030020001 -  Apoyar el desarrollo de 50 iniciativas de emprendimiento orientadas hacia la cultura, ciencia y tecnología, ambientales, empresariales y, ecoturísticos, entre otras</v>
          </cell>
        </row>
        <row r="320">
          <cell r="A320" t="str">
            <v>33030020002 -  En el período 2012 - 2015, se da Asistencia técnica a 100 emprendimientos comunitarios innovadores</v>
          </cell>
        </row>
        <row r="321">
          <cell r="A321" t="str">
            <v>33030030001 -  En el período 2012 - 2015, se apoyan 150 Proyectos asociativos de economía solidaria</v>
          </cell>
        </row>
        <row r="322">
          <cell r="A322" t="str">
            <v>33030030002 -  A diciembre de 2014, se encuentra elaborada la Política Pública para la economía solidaria</v>
          </cell>
        </row>
        <row r="323">
          <cell r="A323" t="str">
            <v>33030040001 -  A diciembre de 2014, se encuentra Formulado el Plan de Competitividad Municipal</v>
          </cell>
        </row>
        <row r="324">
          <cell r="A324" t="str">
            <v>33030040002 -  A diciembre de 2014, se ha Creado el Consejo Municipal de Ciencia, Tecnología e Innovación</v>
          </cell>
        </row>
        <row r="325">
          <cell r="A325" t="str">
            <v xml:space="preserve">33030040003 -  En el período 2012 - 2015, se apoyan 15 Proyectos de investigación e innovación </v>
          </cell>
        </row>
        <row r="326">
          <cell r="A326" t="str">
            <v xml:space="preserve">33030040004 -  En el período 2012 - 2015, se presentan 10 Proyectos de Ciencia, Tecnología e Innovación a Colciencias </v>
          </cell>
        </row>
        <row r="327">
          <cell r="A327" t="str">
            <v xml:space="preserve">33030040005 -  A diciembre de 2014, está formulada la política municipal de ciencia, tecnología e innovación </v>
          </cell>
        </row>
        <row r="328">
          <cell r="A328" t="str">
            <v>33030040006 -  A diciembre de 2014, está funcionando el Sistema Regional integrado de información para la innovación, emprendimiento y empresarismo</v>
          </cell>
        </row>
        <row r="329">
          <cell r="A329" t="str">
            <v>34010010001 -  A diciembre de 2015 se tienen 1,486 ha de Nuevas áreas protegidas declaradas administradas y en proceso de declaratoria</v>
          </cell>
        </row>
        <row r="330">
          <cell r="A330" t="str">
            <v>34010010002 -  A diciembre de 2015 hay 2 Corredores ambientales y paisajísticos en franjas ribereñas desarrollados</v>
          </cell>
        </row>
        <row r="331">
          <cell r="A331" t="str">
            <v xml:space="preserve">34010010003 -  En el período 2012 - 2015 se incrementa a 988 ha, el Área en zona rural en proceso de restauración o rehabilitación </v>
          </cell>
        </row>
        <row r="332">
          <cell r="A332" t="str">
            <v>34010010004 -  En el período 2012 - 2015 se incrementan a 800 los Nacimientos hídricos con implementación de acciones de recuperación y aislamientos  de zonas estratégicas de captación de agua</v>
          </cell>
        </row>
        <row r="333">
          <cell r="A333" t="str">
            <v>34010010005 -  A diciembre de 2015 se ha Recuperado ambientalmente las lagunas Charco Azul y el Pondaje</v>
          </cell>
        </row>
        <row r="334">
          <cell r="A334" t="str">
            <v>34010010006 -  A diciembre de 2015 se implementa un Modelo piloto  de compensación por servicios ambientales en el territorio rural</v>
          </cell>
        </row>
        <row r="335">
          <cell r="A335" t="str">
            <v>34010010007 -  En el período 2012 - 2015 se formulan y adoptan 7 planes de manejo de humedales</v>
          </cell>
        </row>
        <row r="336">
          <cell r="A336" t="str">
            <v>34010010008 -  En el período 2012 - 2015 hay 1,700 ha restauradas de bosque</v>
          </cell>
        </row>
        <row r="337">
          <cell r="A337" t="str">
            <v>34010020001 -  A diciembre de 2014 se instalan 3 estaciones de  monitoreo de la calidad de  agua superficial</v>
          </cell>
        </row>
        <row r="338">
          <cell r="A338" t="str">
            <v>34010020002 -  En el período 2012 - 2015 se instalan 30 piezómetros de la Red de monitoreo de la calidad del recurso hídrico subterráneo</v>
          </cell>
        </row>
        <row r="339">
          <cell r="A339" t="str">
            <v xml:space="preserve">34010020003 -  A diciembre de 2015 se mantendran cerradas en 100% de las minas ilegales denunciadas </v>
          </cell>
        </row>
        <row r="340">
          <cell r="A340" t="str">
            <v>34010020004 -  A diciembre de 2014 está formulado el Plan de Gestión Ambiental Municipal PGAM</v>
          </cell>
        </row>
        <row r="341">
          <cell r="A341" t="str">
            <v>34010020005 -  En el período 2012 - 2015 se inspeccionan 4,000 Vehículos automotores / año en el marco del programa de control y vigilancia de la contaminación atmosférica</v>
          </cell>
        </row>
        <row r="342">
          <cell r="A342" t="str">
            <v>34010020006 -  En el período 2012 - 2015 se regulan 38 Fuentes fijas de contaminación atmosférica</v>
          </cell>
        </row>
        <row r="343">
          <cell r="A343" t="str">
            <v>34010020007 -  En el período 2012 - 2015 están operando 9 Estaciones del Sistema de Vigilancia de Calidad de Aire</v>
          </cell>
        </row>
        <row r="344">
          <cell r="A344" t="str">
            <v>34010020008 -  En el período 2012 - 2015 se regulan 50 Empresas que hacen aprovechamiento de fauna y flora silvestres</v>
          </cell>
        </row>
        <row r="345">
          <cell r="A345" t="str">
            <v>34010020009 -  En el período 2012 - 2015 hay una Línea ecológica de atención ciudadana en operación</v>
          </cell>
        </row>
        <row r="346">
          <cell r="A346" t="str">
            <v>34010020010 -  En el período 2012 - 2015 se desarrollan 150 Operativos de monitoreo, vigilancia y control de ruido anuales</v>
          </cell>
        </row>
        <row r="347">
          <cell r="A347" t="str">
            <v xml:space="preserve">34010020011 -  A diciembre de 2014 está formulado el Estatuto de ruido de Santiago de Cali </v>
          </cell>
        </row>
        <row r="348">
          <cell r="A348" t="str">
            <v>34010020012 -  A diciembre de 2014 se implementa el Observatorio Ambiental del municipio de Santiago de Cali</v>
          </cell>
        </row>
        <row r="349">
          <cell r="A349" t="str">
            <v>34010020013 -  A diciembre de 2015 está elaborado el Estudio de localización de sitios de disposición final de residuos  peligrosos</v>
          </cell>
        </row>
        <row r="350">
          <cell r="A350" t="str">
            <v>34010030001 -  En el período 2012-2015 hay 50 Instituciones educativas oficiales  acompañadas en  la  implementación del Proyecto Ambiental Escolar PRAE.</v>
          </cell>
        </row>
        <row r="351">
          <cell r="A351" t="str">
            <v>34010030002 -  En el período 2012-2015  se capacitan 352 Docentes de las sedes educativas públicas para el fortalecimiento de los PRAE</v>
          </cell>
        </row>
        <row r="352">
          <cell r="A352" t="str">
            <v>34010030003 -  En el período 2012-2015 hay 22 Proyectos Ciudadanos de Educación Ambiental (PROCEDA) en las comunas de la ciudad</v>
          </cell>
        </row>
        <row r="353">
          <cell r="A353" t="str">
            <v>34010030004 -  A diciembre de 2013 se fortalece el Sistema de gestión ambiental comunitario - SIGAC, a través de la implementación de 22 agendas ambientales comunitarias</v>
          </cell>
        </row>
        <row r="354">
          <cell r="A354" t="str">
            <v xml:space="preserve">34010030005 -  En el período 2012-2015 se fortalece el Jardín botánico como Centro de Investigación y Educación Ambiental Regional </v>
          </cell>
        </row>
        <row r="355">
          <cell r="A355" t="str">
            <v>34010030006 -  En el período 2012-2015 se implementa un Programa de sensibilización ciudadana para la promoción de la cultura de basura cero y capacitación de infractores del comparendo ambiental</v>
          </cell>
        </row>
        <row r="356">
          <cell r="A356" t="str">
            <v xml:space="preserve">34010030007 -  En el período 2012-2015 se consolidan 2 Ecoparques como centros de educación y cultural ambiental </v>
          </cell>
        </row>
        <row r="357">
          <cell r="A357" t="str">
            <v>34010030008 -  En el período 2012-2015 se implementa a través de alianzas estratégicas un Programa de educación ambiental y cultura ciudadana para la promoción, el ahorro, uso eficiente y alternativo de agua y energía</v>
          </cell>
        </row>
        <row r="358">
          <cell r="A358" t="str">
            <v xml:space="preserve">34010030009 -  A diciembre de 2014 se desarrollan 4 Programas de capacitación a congregaciones y lugares de culto para la formulación e implementación de acciones ambientales correctivas de impacto sonoros </v>
          </cell>
        </row>
        <row r="359">
          <cell r="A359" t="str">
            <v>34010030010 -  A diciembre de 2015 se desarrollan 4 Programas de capacitación a congregaciones y lugares de culto sobre formulación e implementación del Plan de Manejo Ambiental (PMA)</v>
          </cell>
        </row>
        <row r="360">
          <cell r="A360" t="str">
            <v>34010030011 -  En el período 2012-2015 se Recuperan 24.85 km de las condiciones naturales de los cauces de las Quebradas en la zona de ladera del área urbana de Santiago de Cali</v>
          </cell>
        </row>
        <row r="361">
          <cell r="A361" t="str">
            <v xml:space="preserve">34020010001 -  En el período 2012-2015 se realizan 4 Evaluaciones de amenaza, vulnerabilidad y riesgo por fenómenos naturales </v>
          </cell>
        </row>
        <row r="362">
          <cell r="A362" t="str">
            <v>34020010002 -  A diciembre de 2015 hay 4 Instrumentos normativos para la localización y construcción segura de edificaciones</v>
          </cell>
        </row>
        <row r="363">
          <cell r="A363" t="str">
            <v>34020010003 -  A diciembre de 2013 se implementa un Proyecto piloto sobre adaptación al cambio climático</v>
          </cell>
        </row>
        <row r="364">
          <cell r="A364" t="str">
            <v>34020020001 -  En el período 2012-2015 se reubican 15,000 Viviendas de zonas de alto riesgo no mitigable</v>
          </cell>
        </row>
        <row r="365">
          <cell r="A365" t="str">
            <v>34020020002 -  En el período 2012-2015 se recuperan y estabilizan 30 ha del Área de ladera urbana no ocupable</v>
          </cell>
        </row>
        <row r="366">
          <cell r="A366" t="str">
            <v>34020020003 -  En el período 2012-2015 están reforzados 17 km de diques de los Ríos Cauca y Cali</v>
          </cell>
        </row>
        <row r="367">
          <cell r="A367" t="str">
            <v>34020020004 -  En el período 2012-2015 hay 6 Ríos con restauración del flujo hidráulico en puntos críticos</v>
          </cell>
        </row>
        <row r="368">
          <cell r="A368" t="str">
            <v>34020020005 -  En el período 2012-2015 se diseñan e implementan 7 proyectos de alertas tempranas en coordinación con y para las comunidades aledañas a los ríos de la ciudad y con riesgo de inundaciones</v>
          </cell>
        </row>
        <row r="369">
          <cell r="A369" t="str">
            <v xml:space="preserve">34020020006 -  En el período 2012-2015 se Estabilizan 500 metros lineales de margen del rio y quebradas en sectores vulnerables </v>
          </cell>
        </row>
        <row r="370">
          <cell r="A370" t="str">
            <v>34020030001 -  En el período 2012-2015 se coordinan 4 organismos de socorro con la administración municipal</v>
          </cell>
        </row>
        <row r="371">
          <cell r="A371" t="str">
            <v>34020030002 -  A diciembre de 2012 se cuenta con un Plan de contingencia para el manejo de residuos sólidos en situación de desastre</v>
          </cell>
        </row>
        <row r="372">
          <cell r="A372" t="str">
            <v>34020030003 -  A diciembre de 2015 se implenta un Plan de prevención y atención de incendios forestales</v>
          </cell>
        </row>
        <row r="373">
          <cell r="A373" t="str">
            <v>34020030004 -  A diciembre de 2015 hay diseñadas e implementadas 2 Estrategias de IEC para la prevención y atención de desastres y emergencias</v>
          </cell>
        </row>
        <row r="374">
          <cell r="A374" t="str">
            <v>34030010001 -  A diciembre de 2015 está formulada la  Política de Mejoramiento Integral de Barrios</v>
          </cell>
        </row>
        <row r="375">
          <cell r="A375" t="str">
            <v>34030010002 -  En el período 2012-2015 se mejoran 10,000 viviendas</v>
          </cell>
        </row>
        <row r="376">
          <cell r="A376" t="str">
            <v>34030010003 -  En el período 2012-2015 se titulan 8,000 predios</v>
          </cell>
        </row>
        <row r="377">
          <cell r="A377" t="str">
            <v>34030010004 -  En el período 2012-2015 se generan 4,000 Soluciones habitacionales en el programa de recomposición de asentamientos de desarrollo incompleto</v>
          </cell>
        </row>
        <row r="378">
          <cell r="A378" t="str">
            <v>34030020001 -  En el período 2012-2015 se generan 32,000 viviendas tipo VIP y VIS a partir de procesos de habilitación de suelo urbanizable y/o de renovación, redensificación y reconversión de suelo urbanizado</v>
          </cell>
        </row>
        <row r="379">
          <cell r="A379" t="str">
            <v xml:space="preserve">3403002002 -  A diciembre de 2014 está elaborado el Censo unificado de beneficiados de subsidio de vivienda </v>
          </cell>
        </row>
        <row r="380">
          <cell r="A380" t="str">
            <v>34040010001 -  En el período 2012-2015 se genera y recupera 129,936 m2 de Espacio Público accesible con la infraestructura del SITM-MIO</v>
          </cell>
        </row>
        <row r="381">
          <cell r="A381" t="str">
            <v>34040010002 -  En el período 2012-2015 se construye y mantiene 24,600 m2 más de la red de andenes priorizada</v>
          </cell>
        </row>
        <row r="382">
          <cell r="A382" t="str">
            <v>34040010003 -  En el período 2012-2015 se gestiona la adopción de 78,000 m2 de espacio público</v>
          </cell>
        </row>
        <row r="383">
          <cell r="A383" t="str">
            <v>34040010004 -  En el período 2012-2015 se construyen 12 nuevos parques</v>
          </cell>
        </row>
        <row r="384">
          <cell r="A384" t="str">
            <v xml:space="preserve">34040010005 -  En el período 2012-2015 se diseña e implementa la Ecorruta turismo de naturaleza </v>
          </cell>
        </row>
        <row r="385">
          <cell r="A385" t="str">
            <v xml:space="preserve">34040010006 -  En el período 2012-2015 se siembran 100,000 Arboles en el marco del programa de arborización urbana GUAYACAN 2015      </v>
          </cell>
        </row>
        <row r="386">
          <cell r="A386" t="str">
            <v>34040010007 -  En el período 2012-2015 se recupera y sostiene 15 Espacios públicos invadidos</v>
          </cell>
        </row>
        <row r="387">
          <cell r="A387" t="str">
            <v>34040010008 -  En el período 2012-2015 se vinculan 1500 Comerciantes informales del centro a programas de emprendimiento</v>
          </cell>
        </row>
        <row r="388">
          <cell r="A388" t="str">
            <v xml:space="preserve">34040010009 -  En el período 2012-2015 se regulan en sistemas modulares a 100 Comerciantes informales </v>
          </cell>
        </row>
        <row r="389">
          <cell r="A389" t="str">
            <v xml:space="preserve">34040010010 -  En el período 2012-2015 se implementan cuatro estrategias de recuperación y apropiación de espacio público en las comunas y corregimientos del municipio  de Cali,  durante  la presente  administracion    </v>
          </cell>
        </row>
        <row r="390">
          <cell r="A390" t="str">
            <v xml:space="preserve">34040010011 -  En el período 2012 - 2015, se capacitan 100 Estudiantes de 10 y 11 como gestores de cultura ciudadana      </v>
          </cell>
        </row>
        <row r="391">
          <cell r="A391" t="str">
            <v xml:space="preserve">34040010012 -  En el período 2012 - 2015, se hace Mantenimiento anual a 28 fuentes ornamentales  </v>
          </cell>
        </row>
        <row r="392">
          <cell r="A392" t="str">
            <v xml:space="preserve">34040010013 -  En el período 2012 - 2015, se hace Mantenimiento a 44 Monumentos </v>
          </cell>
        </row>
        <row r="393">
          <cell r="A393" t="str">
            <v>34040010014 -  En el período 2012 - 2015, se hace Mantenimiento y reposición al 100% del mobiliario urbano concesionado</v>
          </cell>
        </row>
        <row r="394">
          <cell r="A394" t="str">
            <v>34040010015 -  A diciembre de 2013 está actualizado el estatuto arbóreo</v>
          </cell>
        </row>
        <row r="395">
          <cell r="A395" t="str">
            <v>34040010016 -  A diciembre de 2015 está actualizado el Inventario y caracterización de espacio público</v>
          </cell>
        </row>
        <row r="396">
          <cell r="A396" t="str">
            <v xml:space="preserve">34040010017 -  En el período 2012 - 2015 se elabora el Manual normativo para el mobiliario urbano a partir del diseño universal      </v>
          </cell>
        </row>
        <row r="397">
          <cell r="A397" t="str">
            <v>34040010018 -  En el período 2012 - 2015 el área con Control de la hormiga arriera en parques y zonas verdes públicas es de 300,000 m2</v>
          </cell>
        </row>
        <row r="398">
          <cell r="A398" t="str">
            <v>34040010019 -  En el período 2012 - 2015 se hace mantenimiento a 14,685,974 m2 de  zonas verdes, jardines, parques y población arborea del Municipio</v>
          </cell>
        </row>
        <row r="399">
          <cell r="A399" t="str">
            <v>34040010020 -  A diciembre de 2015 se han construido 68 m2 de muros de contención en corregimientos</v>
          </cell>
        </row>
        <row r="400">
          <cell r="A400" t="str">
            <v>34040020001 -  Construir, adecuar y reparar 600 escenarios deportivos y recreativos en el periodo de gobierno</v>
          </cell>
        </row>
        <row r="401">
          <cell r="A401" t="str">
            <v>34040020002 -  Construir un escenarios deportivo para nuevas tendencias deportivas en el periodo de gobierno</v>
          </cell>
        </row>
        <row r="402">
          <cell r="A402" t="str">
            <v>34040020003 -  Construir un centro deportivo de alto rendimiento en el periodo de gobierno.</v>
          </cell>
        </row>
        <row r="403">
          <cell r="A403" t="str">
            <v>34040020004 -  Construir y/o adecuar 14 escenarios deportivos para la realización de los Juegos Mundiales.</v>
          </cell>
        </row>
        <row r="404">
          <cell r="A404" t="str">
            <v xml:space="preserve">34040020005 -  Fortalecer con infraestructura 24 bibliotecas  y centros culturales del  municpio, en la presente administrciòn </v>
          </cell>
        </row>
        <row r="405">
          <cell r="A405" t="str">
            <v>34040020006 -  A diciembre de 2015 se ha Construido y puesto en funcionamiento la primera fase del centro de vigilancia y control de zoonosis y bienestar animal</v>
          </cell>
        </row>
        <row r="406">
          <cell r="A406" t="str">
            <v>34040020007 -  En el período 2012 - 2015 se hace Adecuación y mantenimiento a 3 casas de la juventud</v>
          </cell>
        </row>
        <row r="407">
          <cell r="A407" t="str">
            <v xml:space="preserve">34040020008 -  En el período 2012 - 2015 se hace Adecuación, mantenimiento y dotación a 23 CALI </v>
          </cell>
        </row>
        <row r="408">
          <cell r="A408" t="str">
            <v>34040020009 -  En el período 2012 - 2015 se hace Mantenimiento a 200 sedes comunales</v>
          </cell>
        </row>
        <row r="409">
          <cell r="A409" t="str">
            <v>34040020010 -  En el período 2012 - 2015 se Construyen 5 equipamientos comunitarios</v>
          </cell>
        </row>
        <row r="410">
          <cell r="A410" t="str">
            <v xml:space="preserve">34040020011 -  A diciembre de 2014 se completa la Construcción de la tercera casa de justicia </v>
          </cell>
        </row>
        <row r="411">
          <cell r="A411" t="str">
            <v>34040020012 -  En el período 2012 - 2015 se consolidan 5 Nodos colectivos de equipamientos</v>
          </cell>
        </row>
        <row r="412">
          <cell r="A412" t="str">
            <v>34050010001 -  En el período 2012 - 2015 se realizan Auditorías de seguridad vial al 100%  de proyectos (diseños, construcción y operación)</v>
          </cell>
        </row>
        <row r="413">
          <cell r="A413" t="str">
            <v>34050010002 -  En el período 2014 - 2015 el Observatorio de la movilidad está en funcionamiento</v>
          </cell>
        </row>
        <row r="414">
          <cell r="A414" t="str">
            <v>34050010003 -  En el período 2012 - 2015 se Modernización 300 intersecciones de la red semaforizada</v>
          </cell>
        </row>
        <row r="415">
          <cell r="A415" t="str">
            <v>34050010004 -  En el período 2012 - 2015 se instalan 10,000 Señales verticales informativas, preventivas, prohibitivas</v>
          </cell>
        </row>
        <row r="416">
          <cell r="A416" t="str">
            <v xml:space="preserve">34050010005 -  En el período 2012 - 2015 se marcan 190,000 m2 de Señalización horizontal de la red vial </v>
          </cell>
        </row>
        <row r="417">
          <cell r="A417" t="str">
            <v xml:space="preserve">34050010006 -  En el período 2012 - 2015 se instalan 195 Cámaras de vigilancia  para el control del tráfico </v>
          </cell>
        </row>
        <row r="418">
          <cell r="A418" t="str">
            <v xml:space="preserve">34050010007 -  A diciembre de 2015 se implementa en un 60% el Plan de Movilidad Urbana PIMU </v>
          </cell>
        </row>
        <row r="419">
          <cell r="A419" t="str">
            <v xml:space="preserve">34050020001 -  A diciembre de 2013 está Actualizado el estudio de las necesidades de infraestructura y operación del SITM, incluyendo la actualización de matriz origen-destino para cuantificación de la demanda de pasajeros            </v>
          </cell>
        </row>
        <row r="420">
          <cell r="A420" t="str">
            <v>34050020002 -  En el período 2012-2015 están habilitados los 38.6 km de corredores troncales</v>
          </cell>
        </row>
        <row r="421">
          <cell r="A421" t="str">
            <v>34050020003 -  En el período 2012-2015 se han intervenido 92.5 km de corredores pretroncales</v>
          </cell>
        </row>
        <row r="422">
          <cell r="A422" t="str">
            <v>34050020004 -  En el período 2012-2015 se construyen 2 Patios taller</v>
          </cell>
        </row>
        <row r="423">
          <cell r="A423" t="str">
            <v>34050020005 -  A diciembre de 201 5 está construído el sistema aerosuspendido MIO Cable en la Comuna 20</v>
          </cell>
        </row>
        <row r="424">
          <cell r="A424" t="str">
            <v>34050020006 -  En el período 2012-2015 se construyen 7 Estaciones Terminales para el MIO</v>
          </cell>
        </row>
        <row r="425">
          <cell r="A425" t="str">
            <v>3405003001 -  En el período 2012-2015 se realiza el Mantenimiento de 6 km de la red Plan Maestro de ciclorrutas</v>
          </cell>
        </row>
        <row r="426">
          <cell r="A426" t="str">
            <v>3405003002 -  En el período 2012-2015 se construyen 30.4 km de la red Plan Maestro de ciclorrutas</v>
          </cell>
        </row>
        <row r="427">
          <cell r="A427" t="str">
            <v>3405003003 -  En el período 2012-2015 se construyen 5 Parqueaderos de bicicletas en las terminales SITM</v>
          </cell>
        </row>
        <row r="428">
          <cell r="A428" t="str">
            <v xml:space="preserve">3405003004 -  En el período 2012-2015 se implementa el Sistema de Bicicletas Públicas             </v>
          </cell>
        </row>
        <row r="429">
          <cell r="A429" t="str">
            <v>3405003005 -  A diciembre de 2015, hay Integración de transportadores con rutas legales de transporte público, organizados y/o asociados en sectores de ladera, al SITM MIO (comunas 1,18,19,20)</v>
          </cell>
        </row>
        <row r="430">
          <cell r="A430" t="str">
            <v xml:space="preserve">3405003006 -  A diciembre de 2015 se implementa una zona sin tráfico vehicular (zona boulevard del rio Cali)  </v>
          </cell>
        </row>
        <row r="431">
          <cell r="A431" t="str">
            <v xml:space="preserve">3405003007 -  En el período 2012-2015 se pasa del 11% al 12% los Viajes diarios en bicicleta </v>
          </cell>
        </row>
        <row r="432">
          <cell r="A432" t="str">
            <v xml:space="preserve">34050040001 -  A diciembre de 2014 están elaborados los estudios de factibilidad, prediseño, diseño del Corredor Verde   </v>
          </cell>
        </row>
        <row r="433">
          <cell r="A433" t="str">
            <v xml:space="preserve">34050040002 -  A diciembre de 2015 se avanza en 30% la la construcción del Corredor Verde </v>
          </cell>
        </row>
        <row r="434">
          <cell r="A434" t="str">
            <v xml:space="preserve">34050050001 -  En el período 2012-2015 se Continúa la ejecución de las 21 obras a realizar por el Sistema de contribución de Valorización </v>
          </cell>
        </row>
        <row r="435">
          <cell r="A435" t="str">
            <v>34050050002 -  En el período 2012-2015 se rehabilitan 67.4 km de 367 km de vía</v>
          </cell>
        </row>
        <row r="436">
          <cell r="A436" t="str">
            <v>34050050003 -  En el período 2012-2015 se  pavimentan 22.0 km de 107 km de vía en la zona urbana</v>
          </cell>
        </row>
        <row r="437">
          <cell r="A437" t="str">
            <v>34050050004 -  En el período 2012-2015 se  se  pavimentan 9.0 km de vía de la Vuelta de Occidente</v>
          </cell>
        </row>
        <row r="438">
          <cell r="A438" t="str">
            <v>34050050005 -  En el período 2012-2015 se realiza el Mantenimiento 60 km de vías rurales</v>
          </cell>
        </row>
        <row r="439">
          <cell r="A439" t="str">
            <v>34050050006 -  En el período 2012-2015 se realiza el Mantenimiento de 80 puentes peatonales y vehiculares</v>
          </cell>
        </row>
        <row r="440">
          <cell r="A440" t="str">
            <v>34050050007 -  En el período 2012-2015 se Construyen 10 puentes vehiculares y peatonales</v>
          </cell>
        </row>
        <row r="441">
          <cell r="A441" t="str">
            <v>34050050008 -  A diciembre de 2014 está actualizado el Plan Vial y de Transporte</v>
          </cell>
        </row>
        <row r="442">
          <cell r="A442" t="str">
            <v>34050050009 -  A diciembre de 2014 se ha realizado el Estudio origen – destino de mercancías (Estatuto de carga)</v>
          </cell>
        </row>
        <row r="443">
          <cell r="A443" t="str">
            <v>34050050010 -  A diciembre de 2014 se ha realizado el Estudio Plan Maestro de parqueaderos y estacionamientos</v>
          </cell>
        </row>
        <row r="444">
          <cell r="A444" t="str">
            <v xml:space="preserve">34050050011 -  A diciembre de 2015 se ha implementado en un 30% el Plan maestro de parqueaderos </v>
          </cell>
        </row>
        <row r="445">
          <cell r="A445" t="str">
            <v>34050050012 -  En el período 2012 - 2015 se implementa la motovía</v>
          </cell>
        </row>
        <row r="446">
          <cell r="A446" t="str">
            <v xml:space="preserve">34050050013 -  A diciembre de 2015 se ha Gestionado de manera concertada la formulación de estudio de prediseño y factibilidad de la conexión vial ciudad región </v>
          </cell>
        </row>
        <row r="447">
          <cell r="A447" t="str">
            <v>34050050014 -  A diciembre de 2015 se ha avanzado en un 40% la construcción del eje vial ciudad región</v>
          </cell>
        </row>
        <row r="448">
          <cell r="A448" t="str">
            <v>34050060001 -  En el período 2012 - 2015 se elaboran 4  Estudios de accidentalidad vial en la red vial del municipio</v>
          </cell>
        </row>
        <row r="449">
          <cell r="A449" t="str">
            <v xml:space="preserve">34050060002 -  En el período 2012 - 2015 se elaboran 4  Estudios de ingeniería de tránsito: mapas de intersecciones críticas por morbilidad y mortalidad de usuarios de la red </v>
          </cell>
        </row>
        <row r="450">
          <cell r="A450" t="str">
            <v>34050060003 -  En el período 2012 - 2015 se elaboran 4 Estudios de accidentalidad vial y alternativas de solución en el Sistema de Transporte Masivo MIO</v>
          </cell>
        </row>
        <row r="451">
          <cell r="A451" t="str">
            <v xml:space="preserve">34050060004 -  En el período 2012 - 2015 se Implementan 5 Zonas 30 (seguridad vial para escolares) y programas de rutas seguras al Colegio en todas las zonas escolares de la cinco comunas de mayor accidentalidad de Cali         </v>
          </cell>
        </row>
        <row r="452">
          <cell r="A452" t="str">
            <v xml:space="preserve">34050060005 -  Implementación de escuela de formación en educación vial </v>
          </cell>
        </row>
        <row r="453">
          <cell r="A453" t="str">
            <v>34050060006 -  En el período 2012 - 2015 se realizan 1,800 Operativos para optimizar el control y la seguridad vial</v>
          </cell>
        </row>
        <row r="454">
          <cell r="A454" t="str">
            <v>34060010001 -  A diciembre de 2015, 800 Edificaciones cuentan con sistema de almacenamiento de agua cumpliendo requisitos sanitarios</v>
          </cell>
        </row>
        <row r="455">
          <cell r="A455" t="str">
            <v>34060010002 -  A diciembre de 2015 se ha aumentado de 10 a 17 sistemas de tratamiento de agua residual en el área rural</v>
          </cell>
        </row>
        <row r="456">
          <cell r="A456" t="str">
            <v>34060010003 -  A diciembre de 2015 se ha aumentado de 25 a 28 sistemas de suministro de agua potable en el área rural</v>
          </cell>
        </row>
        <row r="457">
          <cell r="A457" t="str">
            <v xml:space="preserve">34060010004 -  En el período 2012-2015 se paga anualmente el 100% del déficit de subsidios a las empresas de servicios públicos, (acueducto, alcantarillado y aseo), de los usuarios de los estratos 1,2, y 3, que cumplan con las condiciones establecidas en </v>
          </cell>
        </row>
        <row r="458">
          <cell r="A458" t="str">
            <v>34060010005 -  A diciembre de 2015 se ha reparado el alcantarillado y PTARD en El Saladito</v>
          </cell>
        </row>
        <row r="459">
          <cell r="A459" t="str">
            <v>34060010006 -  A diciembre de 2015 se ha mejorado el acueducto y PTAP de  Villa del Rosario y cabecera La Paz</v>
          </cell>
        </row>
        <row r="460">
          <cell r="A460" t="str">
            <v xml:space="preserve">34060020001 -  A diciembre de 2015 está adoptada a Política Municipal de servicios públicos domiciliarios </v>
          </cell>
        </row>
        <row r="461">
          <cell r="A461" t="str">
            <v>34060020002 -  A diciembre de 2015 está formulado y adoptado el Plan Maestro de Servicios Públicos y TIC</v>
          </cell>
        </row>
        <row r="462">
          <cell r="A462" t="str">
            <v>34060020003 -  A diciembre de 2015 está formulado y adoptado el Plan Maestro de Servicios Públicos y TIC</v>
          </cell>
        </row>
        <row r="463">
          <cell r="A463" t="str">
            <v>34060020004 -  A diciembre de 2015 está ajustado y adoptado el Estatuto de Servicios Públicos</v>
          </cell>
        </row>
        <row r="464">
          <cell r="A464" t="str">
            <v xml:space="preserve">34060020005 -  A diciembre de 2014  está diseñado e implementado el programa Agua para Todos / mínimo vital </v>
          </cell>
        </row>
        <row r="465">
          <cell r="A465" t="str">
            <v xml:space="preserve">34060020006 -  En el período 2012-2015 está ejecutado el 97.5% del plan de inversiones de saneamiento y manejo de vertimientos en el área urbana </v>
          </cell>
        </row>
        <row r="466">
          <cell r="A466" t="str">
            <v>34060020007 -  En el período 2012-2015 está ejecutado el 97.5% del plan de inversiones de acueducto</v>
          </cell>
        </row>
        <row r="467">
          <cell r="A467" t="str">
            <v>34060020008 -  En el período 2012-2015 se realizan las Gestiones necesarias para el cese de la intervención de las Empresas Municipales de Cali – EMCALI</v>
          </cell>
        </row>
        <row r="468">
          <cell r="A468" t="str">
            <v>34060030001 -  En el período 2012-2015 se reduce del 13.5% al 10% el Nivel de pérdidas en energía eléctrica</v>
          </cell>
        </row>
        <row r="469">
          <cell r="A469" t="str">
            <v>34060030002 -  En el período 2012-2015 se aumenta al 95.4% las Viviendas con servicio de energía eléctrica autorizada</v>
          </cell>
        </row>
        <row r="470">
          <cell r="A470" t="str">
            <v>34060030003 -  En el período 2012-2015 se realiza el Cambio gradual del 50% Alumbrado Público a luz blanca o similar</v>
          </cell>
        </row>
        <row r="471">
          <cell r="A471" t="str">
            <v>34060030004 -  En el período 2012-2015 se realizan 16 Informes de supervisión y control al convenio interadministrativo de alumbrado público</v>
          </cell>
        </row>
        <row r="472">
          <cell r="A472" t="str">
            <v xml:space="preserve">34060040001 -  A diciembre de 2015 hay 2 Estaciones de transferencia de escombros en operación </v>
          </cell>
        </row>
        <row r="473">
          <cell r="A473" t="str">
            <v xml:space="preserve">34060040002 -  A diciembre de 2015 está implementada una Alternativa de aprovechamiento de escombros </v>
          </cell>
        </row>
        <row r="474">
          <cell r="A474" t="str">
            <v xml:space="preserve">34060040003 -  A diciembre de 2015 hay  un Sitio de disposición final de escombros en operación </v>
          </cell>
        </row>
        <row r="475">
          <cell r="A475" t="str">
            <v xml:space="preserve">34060040004 -  En el período 2012 -2015 se sustituyen 1,450 vehículos de tracción animal (censo 2006)        </v>
          </cell>
        </row>
        <row r="476">
          <cell r="A476" t="str">
            <v xml:space="preserve">34060040005 -  A diciembre de 2013 está rrealizado el Estudio técnico y socioeconómico de la cadena del reciclaje </v>
          </cell>
        </row>
        <row r="477">
          <cell r="A477" t="str">
            <v>34060040006 -  A diciembre de 2015 hay 2 Centros de acopio de residuos aprovechables en operación</v>
          </cell>
        </row>
        <row r="478">
          <cell r="A478" t="str">
            <v xml:space="preserve">34060040007 -  En el período 2012 -2015 está en operación un Sistema de Manejo adecuado de lodos de alcantarillado, biosólidos y plantas de tratamiento de agua potable </v>
          </cell>
        </row>
        <row r="479">
          <cell r="A479" t="str">
            <v>34060040008 -  A diciembre de 2015 hay un Sistema de aprovechamiento de residuos orgánicos operando</v>
          </cell>
        </row>
        <row r="480">
          <cell r="A480" t="str">
            <v xml:space="preserve">34060040009 -  En 2013 está instala una Planta de tratamiento de lixiviados del sitio de disposición final de Navarro </v>
          </cell>
        </row>
        <row r="481">
          <cell r="A481" t="str">
            <v>34060040010 -  En el período 2012 -2015 hay una Planta operando y con mantenimiento del vertedero de  Navarro con capacidad para 47,300 m3</v>
          </cell>
        </row>
        <row r="482">
          <cell r="A482" t="str">
            <v>34060040011 -  En el período 2012 -2015 se implementa el el Plan de cierre y clausura del vertedero de Navarro</v>
          </cell>
        </row>
        <row r="483">
          <cell r="A483" t="str">
            <v xml:space="preserve">34060040012 -  En el período 2012 -2015 se pasa de controlar y registrar de 620 a 1,000 las Empresas generadoras de Residuos sólidos peligrosos </v>
          </cell>
        </row>
        <row r="484">
          <cell r="A484" t="str">
            <v>34060040013 -  En el período 2012 -2015 se implementan 2 Proyectos de inclusión social en la Gestión Integral de Residuos Sólidos</v>
          </cell>
        </row>
        <row r="485">
          <cell r="A485" t="str">
            <v xml:space="preserve">34060040014 -  En el período 2012 -2015 se implementa una Campaña para la instalación de puntos de recolección de residuos de aparatos eléctricos y electrónicos RAEE, generados por el sector domiciliario </v>
          </cell>
        </row>
        <row r="486">
          <cell r="A486" t="str">
            <v xml:space="preserve">34060040015 -  En el período 2012 -2015 se realiza la Clausura y recuperación paisajística de la escombrera de la 50 (Aut. Simón Bolívar); y control de las  demás escombreras ilegales          </v>
          </cell>
        </row>
        <row r="487">
          <cell r="A487" t="str">
            <v>34060040016 -  A diciembre de 2014 está Diseñada e implementada una estrategia para el manejo de equinos y vehículos de tracción animal, en el marco del programa de sustitución</v>
          </cell>
        </row>
        <row r="488">
          <cell r="A488" t="str">
            <v xml:space="preserve">34070010001 -  A diciembre de 2014 está revisado y ajustado el Plan de Ordenamiento Territorial </v>
          </cell>
        </row>
        <row r="489">
          <cell r="A489" t="str">
            <v>34070010002 -  A diciembre de 2015 están ajustadas y adoptadas las fichas normativas</v>
          </cell>
        </row>
        <row r="490">
          <cell r="A490" t="str">
            <v>34070010003 -  A diciembre de 2015 hay un avance del 30% en la reglamentación de las unidades de planificación rural</v>
          </cell>
        </row>
        <row r="491">
          <cell r="A491" t="str">
            <v xml:space="preserve">34070010004 -  En el perído 2012-2015 están adopatdos los Instrumentos de planificación, financiación o gestión del suelo reglamentarios del POT </v>
          </cell>
        </row>
        <row r="492">
          <cell r="A492" t="str">
            <v>34070010005 -  En el período 2012 - 2015, se adoptan 8 planes parciales</v>
          </cell>
        </row>
        <row r="493">
          <cell r="A493" t="str">
            <v>34070010006 -  A diciembre de 2015 está Formulada la Política de Desarrollo Rural del Municipio</v>
          </cell>
        </row>
        <row r="494">
          <cell r="A494" t="str">
            <v>34070010007 -  En el período 2012 - 2015, se atiende al menos el 50% de las quejas por control de construcciones de la vigencia</v>
          </cell>
        </row>
        <row r="495">
          <cell r="A495" t="str">
            <v>34070010008 -  En el período 2012 - 2015,  el 25% de los proyectos de construcción de vivienda de las personas registradas y dedicadas al desarrollo y actividad de enajenación de vivienda tienen control técnico, jurídico y financiero</v>
          </cell>
        </row>
        <row r="496">
          <cell r="A496" t="str">
            <v xml:space="preserve">34070010009 -  En el período 2012 - 2015, se realiza Control posterior al 50% de las licencias de construcción expedidas por las Curadurías Urbanas </v>
          </cell>
        </row>
        <row r="497">
          <cell r="A497" t="str">
            <v>34070010010 -  En el período 2012 - 2015, se atiende el 50% de las Quejas por control ornato</v>
          </cell>
        </row>
        <row r="498">
          <cell r="A498" t="str">
            <v>34070010011 -  En el período 2012 - 2015, se realiza el 100% del Control de ornato a los predios ubicados en los sitios de interés</v>
          </cell>
        </row>
        <row r="499">
          <cell r="A499" t="str">
            <v xml:space="preserve">34070010012 -  En el período 2012 - 2015, se adecúa el 10% de las zonas verdes cedidas </v>
          </cell>
        </row>
        <row r="500">
          <cell r="A500" t="str">
            <v>34070010013 -  En el período 2012 - 2015, está funcionado el Comité de Espacio Público como instancia asesora,  consultiva y vinculante</v>
          </cell>
        </row>
        <row r="501">
          <cell r="A501" t="str">
            <v>34070020001 -  En el período 2012 - 2015 se inician 3 Proyectos de RU mediante formas de asociación público privadas</v>
          </cell>
        </row>
        <row r="502">
          <cell r="A502" t="str">
            <v>34070020002 -  A diciembre de 2015 está formulado y adoptado el Plan del Centro Global</v>
          </cell>
        </row>
        <row r="503">
          <cell r="A503" t="str">
            <v>34070020003 -  A diciembre de 2013 están Gestionados los predios para la terminación del Proyecto “Ciudad Paraíso”</v>
          </cell>
        </row>
        <row r="504">
          <cell r="A504" t="str">
            <v>35010010001 -  En el período 2012 - 2015 se realizan 4 Investigaciones o estudios de factibilidad realizados de proyectos de interés común de la ciudad-región</v>
          </cell>
        </row>
        <row r="505">
          <cell r="A505" t="str">
            <v xml:space="preserve">35010010002 -  En el período 2012 - 2015 se diseñan, financian e implementan 2 Proyectos de desarrollo conjunto de la ciudad-región </v>
          </cell>
        </row>
        <row r="506">
          <cell r="A506" t="str">
            <v>35010010003 -  En el período 2012 - 2015 se implementan 2 Convenios con municipios vecinos para integración al MIO</v>
          </cell>
        </row>
        <row r="507">
          <cell r="A507" t="str">
            <v>35020010001 -  A diciembre de 2015 se ha gestionado la construcción vía  Carrera 1 entre Calle 73 y Río Cauca (3 km)</v>
          </cell>
        </row>
        <row r="508">
          <cell r="A508" t="str">
            <v>35020010002 -  A diciembre de 2015 se ha gestionado la la construcción Calzada Occidental  Vía  Cali Jamundí entre el Rio Lili y la Carrera 122 (1.5 km)</v>
          </cell>
        </row>
        <row r="509">
          <cell r="A509" t="str">
            <v>35020010003 -  A diciembre de 2015 está elaborado el Estudio para la formulación e implementación de un Plan de Movilidad Regional ( sistema de transporte férreo urbano -  regional de pasajeros y su articulación con el SITM )</v>
          </cell>
        </row>
        <row r="510">
          <cell r="A510" t="str">
            <v>35020010004 -  A diciembre de 2015 está elaborado el Estudio para la mitigación de impactos de las torres de telecomunicaciones de Santiago de Cali – Segunda Fase</v>
          </cell>
        </row>
        <row r="511">
          <cell r="A511" t="str">
            <v xml:space="preserve">35020020001 -  En el período 2012 - 2015 el 100% de las Instituciones Municipales estan vinculadas a la Red Municipal de Datos (REMI) </v>
          </cell>
        </row>
        <row r="512">
          <cell r="A512" t="str">
            <v>35020020002 -  En el período 2012 - 2015 están adecuadas 7 Salas de internet comunitarias (INFOCALI)</v>
          </cell>
        </row>
        <row r="513">
          <cell r="A513" t="str">
            <v>35020020003 -  En el período 2012 - 2015 hay 30,000 ciudadanos  capacitados en el uso y apropiación de TIC</v>
          </cell>
        </row>
        <row r="514">
          <cell r="A514" t="str">
            <v>35020020004 -  A diciembre de 2015 existen 6 Zonas habilitadas de espacio público con accesibilidad a Internet</v>
          </cell>
        </row>
        <row r="515">
          <cell r="A515" t="str">
            <v xml:space="preserve">35020020005 -  En el período 2012 - 2015 se cuenta con 56 Bibliotecas públicas con conectividad de la red municipal </v>
          </cell>
        </row>
        <row r="516">
          <cell r="A516" t="str">
            <v>35020020006 -  En el período 2012 - 2015,  8,436 Servidores Públicos estan capacitados y certificados en el uso y apropiación de TIC</v>
          </cell>
        </row>
        <row r="517">
          <cell r="A517" t="str">
            <v>35020020007 -  En el período 2012 - 2015 se Diseña e implementa un programa para dotar de tecnologías a 5 instituciones de los sectores educación, salud, gobierno en línea, datacenter, entretenimiento y turismo</v>
          </cell>
        </row>
        <row r="518">
          <cell r="A518" t="str">
            <v>35020020008 -  En el período 2012 - 2015 se diseña e implementa un programa para dotar de servicios de banda ancha y fortalecimiento de la telefonía y televisión a 35,450 clientes de estratos 1 y 2</v>
          </cell>
        </row>
        <row r="519">
          <cell r="A519" t="str">
            <v>35030010001 -  En el período 2012 - 2015 hay 10 nuevas empresas extranjeras que invierten en la ciudad-región</v>
          </cell>
        </row>
        <row r="520">
          <cell r="A520" t="str">
            <v>35030010002 -  A diciembre de 2013, se crea un "finishingschool" para preparar graduados universitarios para laborar en el sector BPO/KPO y otros</v>
          </cell>
        </row>
        <row r="521">
          <cell r="A521" t="str">
            <v>35030010003 -  En el período 2012 - 2015, se incrementan la operación a 8 Rutas aéreas internacionales directas</v>
          </cell>
        </row>
        <row r="522">
          <cell r="A522" t="str">
            <v>35030020001 -  A diciembre de 2015 se diseña e implementa una Alianza público-privada para el bilingüismo</v>
          </cell>
        </row>
        <row r="523">
          <cell r="A523" t="str">
            <v>35030020002 -  En el período 2012 - 2015 hay 45 Instituciones educativas oficiales que incrementan 2 horas semanales en la enseñanza del bilingüismo</v>
          </cell>
        </row>
        <row r="524">
          <cell r="A524" t="str">
            <v>35030020003 -  A diciembre de 2015 está Formulada la política pública para la enseñanza del bilingüismo</v>
          </cell>
        </row>
        <row r="525">
          <cell r="A525" t="str">
            <v>35030030001 -  A diciembre de 2013 está Formulada e implementada la Política Pública de cooperación internacional</v>
          </cell>
        </row>
        <row r="526">
          <cell r="A526" t="str">
            <v>35030030002 -  En el período 2012 - 2015, se implementan ocho Proyectos financiados con recursos de entidades multilaterales y agencias bilaterales</v>
          </cell>
        </row>
        <row r="527">
          <cell r="A527" t="str">
            <v>35030030003 -  A diciembre de 2013, se ejecutan dos Programas y gestión de proyectos y recursos de  cooperación y financiación</v>
          </cell>
        </row>
        <row r="528">
          <cell r="A528" t="str">
            <v>35030040001 -  A diciembre de 2014, se implementan dos Convenios y/o proyectos de cooperación con la diáspora</v>
          </cell>
        </row>
        <row r="529">
          <cell r="A529" t="str">
            <v xml:space="preserve">35040010001 -  En 2014 se Realiza una alianza público privada para un complejo de artes escénicas de talla mundial asociado a la salsa </v>
          </cell>
        </row>
        <row r="530">
          <cell r="A530" t="str">
            <v>35040010002 -  En el período 2014 - 2015 se Promueve la participaciòn de 4 artistas internacionales afrodescendientes en el  Festival de Música del Pacífico Petronio Álvarez</v>
          </cell>
        </row>
        <row r="531">
          <cell r="A531" t="str">
            <v>35040010003 -  En el período 2012 - 2015 se realizan anualmente 4 eventos culturales de escala internacional</v>
          </cell>
        </row>
        <row r="532">
          <cell r="A532" t="str">
            <v>35040010004 -  En 2013 se realiza un festival de talla Internacional en temas culturales (Literatura, Música o Gastronomía del Pacifico)</v>
          </cell>
        </row>
        <row r="533">
          <cell r="A533" t="str">
            <v>35040010005 -  En el período 2014-2015 se Realizan 7 intercambios culturales de talla internacional</v>
          </cell>
        </row>
        <row r="534">
          <cell r="A534" t="str">
            <v>35040010006 -  A junio de 2013 se realiza el primer circuito de festivales “Pazifico Rock en Santiago de Cali”</v>
          </cell>
        </row>
        <row r="535">
          <cell r="A535" t="str">
            <v>35040020001 -  En 2013 se Realizan los Juegos Mundiales</v>
          </cell>
        </row>
        <row r="536">
          <cell r="A536" t="str">
            <v>35040020002 -  En el período 2014-2015 se Realizan 2 eventos deportivos internacionales</v>
          </cell>
        </row>
        <row r="537">
          <cell r="A537" t="str">
            <v>35040020003 -  En 2014 se Realiza un campeonato mundial de Ciclísmo de pista</v>
          </cell>
        </row>
        <row r="538">
          <cell r="A538" t="str">
            <v>35040020004 -  A Diciembre de 2015 se Crea un fondo para el deporte</v>
          </cell>
        </row>
        <row r="539">
          <cell r="A539" t="str">
            <v xml:space="preserve">35040030001 -  En el período 2012 - 2015, se lanza e implementa la Estrategia de marca ciudad </v>
          </cell>
        </row>
        <row r="540">
          <cell r="A540" t="str">
            <v>35040030002 -  En el período 2012 - 2015, se efectuan y apoyan 12 Congresos internacionales</v>
          </cell>
        </row>
        <row r="541">
          <cell r="A541" t="str">
            <v>35040030003 -  En el período 2012 - 2015 se hace Presencia de Cali en 7 ferias turísticas nacionales e internacionales</v>
          </cell>
        </row>
        <row r="542">
          <cell r="A542" t="str">
            <v>35040030004 -  A diciembre de 2014 se Formula el Plan Decenal de Turismo</v>
          </cell>
        </row>
        <row r="543">
          <cell r="A543" t="str">
            <v>35040030005 -  A Diciembre de 2015 está Implementado el 40% del Plan Decenal de Turismo</v>
          </cell>
        </row>
        <row r="544">
          <cell r="A544" t="str">
            <v xml:space="preserve">35040030006 -  En el período 2012 - 2015 se Promueve  la visita de 200 periodistas de talla internacional al municipio de  Cali </v>
          </cell>
        </row>
        <row r="545">
          <cell r="A545" t="str">
            <v>35040030007 -  En el período 2012 - 2015 se Capacitan 200  Estudiantes de 10 y 11, capacitados como Guías turísticos con formación en bilingüismo</v>
          </cell>
        </row>
        <row r="546">
          <cell r="A546" t="str">
            <v>35040030008 -  A diciembre de 2015 están Adecuadas 3 paradas de la ruta fluvial sobre el Río Cauca, en los corregimientos El Hormiguero y Navarro</v>
          </cell>
        </row>
        <row r="547">
          <cell r="A547" t="str">
            <v>35040030009 -  En el período 2012 - 2015 se Capacitan 600 personas sobre procesos de turismo, gastronomía, atención al cliente, mercadeo, promoción y divulgación</v>
          </cell>
        </row>
        <row r="548">
          <cell r="A548" t="str">
            <v>35040030010 -  En el período 2012-2015 se brinda Asistencia técnica para el fortalecimiento de 114 sitios con potencial  para el turismo de naturaleza y su aprovechamiento ambiental</v>
          </cell>
        </row>
        <row r="549">
          <cell r="A549" t="str">
            <v xml:space="preserve">35040030011 -  En el período 2012 - 2015 se Definee e implementan 4 estrategias de promociòn de los sitios turisticos de carácter natural </v>
          </cell>
        </row>
        <row r="550">
          <cell r="A550" t="str">
            <v>35040030012 -  En el período 2012 - 2015 se Capacitan 100 personas mayores de 20 años como Guías turísticos con formación en bilingüismo</v>
          </cell>
        </row>
        <row r="551">
          <cell r="A551" t="str">
            <v>35040030013 -  En el período 2012 - 2015 se formula e implementa un Programa para el fortalecimiento de las MiPymes dedicadas al turismo</v>
          </cell>
        </row>
        <row r="552">
          <cell r="A552" t="str">
            <v>35040030014 -  En el período 2012 - 2015 se Diseña e  implementa una estrategia para fortalecer el gremio gastronómico de la ciudad- región</v>
          </cell>
        </row>
        <row r="553">
          <cell r="A553" t="str">
            <v>35040030015 -  En el período 2012-2015 se formula e implementa una política Pública de Turismo</v>
          </cell>
        </row>
        <row r="554">
          <cell r="A554" t="str">
            <v>35040030016 -  En el período 2012 - 2015 se Impletan 4 estrategias de promoción de las diferentes zonas gastronómicas presetnes  en  la ciudad</v>
          </cell>
        </row>
        <row r="555">
          <cell r="A555" t="str">
            <v>35040030017 -  En el período 2012 - 2015 hay una Recuperación paisajística y turística de los cerros tutelares de Cali a cargo de  habitantes de zona rural</v>
          </cell>
        </row>
        <row r="556">
          <cell r="A556" t="str">
            <v xml:space="preserve">36010010001 -  A diciembre de 2015, están implementados los 142 Requisitos de la Norma NTCGP1000:2009 </v>
          </cell>
        </row>
        <row r="557">
          <cell r="A557" t="str">
            <v>36010010002 -  A diciembre de 2015, están implementados los 29 Elementos del Modelo Estándar de Control Interno</v>
          </cell>
        </row>
        <row r="558">
          <cell r="A558" t="str">
            <v>36010010003 -  A diciembre de 2015, están implementadas las cinco  Políticas del Sistema de Desarrollo Administrativo</v>
          </cell>
        </row>
        <row r="559">
          <cell r="A559" t="str">
            <v>36010010004 -  En el período 2012 - 2015, se incrementa en 62 la Cobertura del Programa anual de auditoría interna</v>
          </cell>
        </row>
        <row r="560">
          <cell r="A560" t="str">
            <v>36010010005 -  En el período 2012 - 2015, se implementa un Modelo de Gerencia Jurídica Pública</v>
          </cell>
        </row>
        <row r="561">
          <cell r="A561" t="str">
            <v>36010020001 -  A diciembre de 2013, los Cargos están identificados y perfilados por procesos</v>
          </cell>
        </row>
        <row r="562">
          <cell r="A562" t="str">
            <v xml:space="preserve">36010020002 -  A diciembre de 2013, está implementado el Manual de Funciones de acuerdo al Modelo de Operación por Procesos </v>
          </cell>
        </row>
        <row r="563">
          <cell r="A563" t="str">
            <v>36010020003 -  En el período 2012 - 2015, se implementan las Políticas operativas de gestión del talento humano</v>
          </cell>
        </row>
        <row r="564">
          <cell r="A564" t="str">
            <v>36010020004 -  En el período 2012 - 2015, se diseña e implementa la Política de dirección  y liderazgo</v>
          </cell>
        </row>
        <row r="565">
          <cell r="A565" t="str">
            <v xml:space="preserve">36010020005 -  A diciembre de 2015 se ha conciliado el saldo del Pasivo pensional de manera que llegue a cero  la diferencia entre el  valor  del pasivo pensional  calculado por el Municipio de Cali y el valor calculado por  el FONPET_MHCP  </v>
          </cell>
        </row>
        <row r="566">
          <cell r="A566" t="str">
            <v>36010020006 -  En el período 2012 - 2015, se realiza el Diagnóstico de las condiciones físicas de los puestos de trabajo en la administración</v>
          </cell>
        </row>
        <row r="567">
          <cell r="A567" t="str">
            <v xml:space="preserve">36010030001 -  En el período 2012 - 2015, se realiza el Estudio de articulación de la estructura administrativa con la estructura territorial de la ciudad </v>
          </cell>
        </row>
        <row r="568">
          <cell r="A568" t="str">
            <v>36010030002 -  A diciembre de 2015 se realiza la Restructuración del Sistema Municipal de Planificación</v>
          </cell>
        </row>
        <row r="569">
          <cell r="A569" t="str">
            <v>36020010001 -  A partir del 2012 se retoma la Gestión Tributaria propia en un 100%</v>
          </cell>
        </row>
        <row r="570">
          <cell r="A570" t="str">
            <v xml:space="preserve">36020010002 -  A diciembre de 2013 se tiene 100% implementada la declaración tributaria electrónica </v>
          </cell>
        </row>
        <row r="571">
          <cell r="A571" t="str">
            <v>36020010003 -  Al finalizar el periodo de gobierno se cuenta con el cumplimiento oportuno del 60% de los declarantes del impuesto Predial Unificado( Predios al día)</v>
          </cell>
        </row>
        <row r="572">
          <cell r="A572" t="str">
            <v>36020010004 -  Al finalizar el periodo de gobierno por lo menos el 90% de los declarantes ICA del periodo gravable anterior declaran en el periodo gravable de la vigencia actual</v>
          </cell>
        </row>
        <row r="573">
          <cell r="A573" t="str">
            <v>36020010005 -  En el período 2012-2015 se Reduce (recupera) el 50% de la cartera morosa (cobro de multas y comparendos)</v>
          </cell>
        </row>
        <row r="574">
          <cell r="A574" t="str">
            <v>36020010006 -  A diciembre de 2015 se cuentar con el 100% de predios urbanos actualizados (Sobre base Catastral urbana)</v>
          </cell>
        </row>
        <row r="575">
          <cell r="A575" t="str">
            <v>36020010007 -  A diciembre de 2015 se cuenta con 320.000 predios actualizados por medio de Conservación Catastral</v>
          </cell>
        </row>
        <row r="576">
          <cell r="A576" t="str">
            <v xml:space="preserve">36020010008 -  En el período 2012-2015 son administrados de manera integral (Información cualitativa y cuantitativa del bien) los Bienes inmuebles del municipio </v>
          </cell>
        </row>
        <row r="577">
          <cell r="A577" t="str">
            <v>36020010009 -  En el período 2012-2015 se subsana como mínimo el 95%  de los hallazgos encontrados en la información contable del Municipio de Cali según los entes de control</v>
          </cell>
        </row>
        <row r="578">
          <cell r="A578" t="str">
            <v>36020010010 -  En el perído de gobierno, recuperar el 20% la cartera morosa de la Secretaría de Vivienda social ($14,932.4 millones)</v>
          </cell>
        </row>
        <row r="579">
          <cell r="A579" t="str">
            <v>36020010011 -  En el perído de gobierno, reducir en 30% la cartera tributaria vencida ($615,715 millones)</v>
          </cell>
        </row>
        <row r="580">
          <cell r="A580" t="str">
            <v>36030010001 -  A diciembre de 2015, está adoptado, socializado e implementado el estudio de nomenclatura</v>
          </cell>
        </row>
        <row r="581">
          <cell r="A581" t="str">
            <v>36030010002 -  En el período 2012 - 2015, se mantiene actualizada en 100% la Base de datos de estratificación</v>
          </cell>
        </row>
        <row r="582">
          <cell r="A582" t="str">
            <v>36030010003 -  A diciembre de 2013 está realizado el Censo de Estratificación de Fincas y Viviendas dispersas</v>
          </cell>
        </row>
        <row r="583">
          <cell r="A583" t="str">
            <v xml:space="preserve">36030010004 -  A diciembre de 2015, se encuentra en un 75% la implementación de la Infraestructura de Datos Espaciales de Santiago de Cali- IDESC </v>
          </cell>
        </row>
        <row r="584">
          <cell r="A584" t="str">
            <v>36030010005 -  En el período 2012-2015, se ha construido en un 100% la Red geodésica satelital del municipio y está en funcionamiento</v>
          </cell>
        </row>
        <row r="585">
          <cell r="A585" t="str">
            <v>36030010006 -  En el período 2012 - 2015, las 17 Dependencias tienen capacitación y asistencia técnica en formulación de proyectos</v>
          </cell>
        </row>
        <row r="586">
          <cell r="A586" t="str">
            <v>36030010007 -  A diciembre de 2015 hay dos Módulos de SAP en productivo para el seguimiento y evaluación de proyectos y toma de decisiones</v>
          </cell>
        </row>
        <row r="587">
          <cell r="A587" t="str">
            <v xml:space="preserve">36030010008 -  En el período 2012 - 2015, se publican al menos cuatro documentos con estadísticas básicas en el Municipio </v>
          </cell>
        </row>
        <row r="588">
          <cell r="A588" t="str">
            <v>36030010009 -  A diciembre de 2015 está formulado el Plan Prospectivo Cali, Visión 2036</v>
          </cell>
        </row>
        <row r="589">
          <cell r="A589" t="str">
            <v>36030010010 -  A diciembre de 2015, se atienden al menos el 90% de las solicitudes de encuesta del Sisbén</v>
          </cell>
        </row>
        <row r="590">
          <cell r="A590" t="str">
            <v xml:space="preserve">36030010011 -  A diciembre de 2015 se cuenta con una base Predial de la Administración Municipal armonizada en un 100% </v>
          </cell>
        </row>
        <row r="591">
          <cell r="A591" t="str">
            <v>36030010012 -  A diciembre de 2013 está realizada Encuesta  socioeconómica de Cali</v>
          </cell>
        </row>
        <row r="592">
          <cell r="A592" t="str">
            <v>36030010013 -  A diciembre de 2012 está en funcionamiento la Unidad de Gestión de Proyectos</v>
          </cell>
        </row>
        <row r="593">
          <cell r="A593" t="str">
            <v>36030010014 -  En el período 2012 - 2015, se actualiza el Expediente Municipal</v>
          </cell>
        </row>
        <row r="594">
          <cell r="A594" t="str">
            <v>36030010015 -  En el período 2012 - 2015, se formula, evalúa y divulga el instrumento de planificación</v>
          </cell>
        </row>
        <row r="595">
          <cell r="A595" t="str">
            <v>36030010016 -  A diciembre de 2013 se incrementa a 22 los módulos del Software MySAP en el Sistema de Gestión Administrativo y Financiero Territorial de Santiago de Cali (SGAFT)</v>
          </cell>
        </row>
        <row r="596">
          <cell r="A596" t="str">
            <v>36030020001 -  En el período 2012 - 2015, se realizan 8 Procesos de rendición de cuentas participativos a través de diferentes mecanismos</v>
          </cell>
        </row>
        <row r="597">
          <cell r="A597" t="str">
            <v xml:space="preserve">36030020002 -  A diciembre de 2015, está implementada la Estrategia Gobierno en línea </v>
          </cell>
        </row>
        <row r="598">
          <cell r="A598" t="str">
            <v>36030020003 -  A diciembre de 2015, se incrementan a 45 los Trámites y servicios nuevos ofrecidos en línea a los ciudadanos</v>
          </cell>
        </row>
        <row r="599">
          <cell r="A599" t="str">
            <v>36030020004 -  A diciembre de 2015, hay cinco Trámites del DAPM vinculados a la Ventanilla Única del Constructor</v>
          </cell>
        </row>
        <row r="600">
          <cell r="A600" t="str">
            <v>36030020005 -  En el período 2012 - 2015, está implementado el Centro de datos alterno</v>
          </cell>
        </row>
        <row r="601">
          <cell r="A601" t="str">
            <v>36030020006 -  A diciembre de 2015, se ha Digitalizado el 40% de la cartografía de la planoteca del DAP</v>
          </cell>
        </row>
        <row r="602">
          <cell r="A602" t="str">
            <v>36030020007 -  A diciembre del 2015, está implementada la desconcentración de la atencion en los CALI's</v>
          </cell>
        </row>
        <row r="603">
          <cell r="A603" t="str">
            <v>36030020008 -  A diciembre de 2015 están organizados el 100% de los documentos que los Servidores públicos tienen en sus escritorios y oficinas garantizando su ubicación, custodia y trazabilidad en cada una de sus etapas del ciclo Vital</v>
          </cell>
        </row>
        <row r="604">
          <cell r="A604" t="str">
            <v>36030020009 -  A diciembre de 2015 se digitalizan al menos  5.700.000 registros de archivo para facilitar su consulta, ubicación y conservación del expediente fisico</v>
          </cell>
        </row>
        <row r="605">
          <cell r="A605" t="str">
            <v>36030020010 -  A diciembre de 2015 está construido o adecuado un inmueble para el funcionamiento del  Archivo General del Municipio de Santiago de Cali</v>
          </cell>
        </row>
        <row r="606">
          <cell r="A606" t="str">
            <v>36030020011 -  A diciembre de 2015 están clasificados, organizados y depurados el 60% del fondo acumulado de la Administracion Central Municipal</v>
          </cell>
        </row>
        <row r="607">
          <cell r="A607" t="str">
            <v>36030020012 -  A diciembre del 2015, está implementada la ventanilla única del Municipio de Cali</v>
          </cell>
        </row>
        <row r="608">
          <cell r="A608" t="str">
            <v>36030030001 -  En el período 2012 - 2015, se diseña e implenta la Política de Gestión Ética</v>
          </cell>
        </row>
        <row r="609">
          <cell r="A609" t="str">
            <v>36030030002 -  En el período 2012 - 2015, se aumentan en 5,000 los Servidores públicos capacitados para aplicar el autocontrol</v>
          </cell>
        </row>
        <row r="610">
          <cell r="A610" t="str">
            <v>36030030003 -  En el período 2012 - 2015, se atienden oportunamente el 100% de los Requerimientos de órganos de control externo</v>
          </cell>
        </row>
        <row r="611">
          <cell r="A611" t="str">
            <v>36030030004 -  En el período 2012 - 2015, se monitorean y evalúan 8 Dependencias  en el impacto de la conducta disciplinable de los servidores en la gestión pública</v>
          </cell>
        </row>
        <row r="612">
          <cell r="A612" t="str">
            <v xml:space="preserve">36030030005 -  En el período 2012 - 2015, se Disminuye de 4 años a 2 años el tiempo promedio de respuesta en los procesos disciplinarios para garantía de los términos procesales </v>
          </cell>
        </row>
        <row r="613">
          <cell r="A613" t="str">
            <v>36030030006 -  En el período 2012 - 2015, se aumenta a 5,700 servidores públicos a los que se ha alicado el Componente preventivo de la acción disciplinaria</v>
          </cell>
        </row>
        <row r="614">
          <cell r="A614" t="str">
            <v>36030030007 -  En el período 2012 - 2015, se aplica la herramienta de transparencia a los Contratos objeto de auditorías visibles</v>
          </cell>
        </row>
        <row r="615">
          <cell r="A615" t="str">
            <v>36030030008 -  En el período 2012 - 2015, se realiza un Programa transversal para la promoción y fomento del control social a la gestión pública</v>
          </cell>
        </row>
        <row r="616">
          <cell r="A616" t="str">
            <v xml:space="preserve">36030030009 -  En el período 2012 - 2015, se realiza un Programa de capacitación a los  jóvenes  caleños interesados en lo público, a  través   del conocimiento de herramientas para el ejercicio de control social </v>
          </cell>
        </row>
      </sheetData>
      <sheetData sheetId="1">
        <row r="2">
          <cell r="A2" t="str">
            <v xml:space="preserve">31010010001 -  A diciembre de 2015 está implementado el Componente Comunitario de la Estrategia AIEPI, enfatizando en la aplicación de prácticas clave de salud infantil, en 49 organizaciones en los TIO </v>
          </cell>
        </row>
      </sheetData>
      <sheetData sheetId="2">
        <row r="2">
          <cell r="D2" t="str">
            <v>4111 SECRETARIA GENERAL</v>
          </cell>
        </row>
      </sheetData>
      <sheetData sheetId="3"/>
      <sheetData sheetId="4"/>
      <sheetData sheetId="5">
        <row r="2">
          <cell r="A2" t="str">
            <v xml:space="preserve">31010010001 -  A diciembre de 2015 está implementado el Componente Comunitario de la Estrategia AIEPI, enfatizando en la aplicación de prácticas clave de salud infantil, en 49 organizaciones en los TIO </v>
          </cell>
        </row>
      </sheetData>
      <sheetData sheetId="6">
        <row r="2">
          <cell r="A2" t="str">
            <v xml:space="preserve">31010010001 -  A diciembre de 2015 está implementado el Componente Comunitario de la Estrategia AIEPI, enfatizando en la aplicación de prácticas clave de salud infantil, en 49 organizaciones en los TIO </v>
          </cell>
        </row>
      </sheetData>
      <sheetData sheetId="7">
        <row r="2">
          <cell r="D2" t="str">
            <v>4111 SECRETARIA GENERAL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"/>
  <sheetViews>
    <sheetView view="pageBreakPreview" topLeftCell="A25" zoomScale="50" zoomScaleNormal="50" zoomScaleSheetLayoutView="50" workbookViewId="0">
      <selection activeCell="F45" sqref="F45"/>
    </sheetView>
  </sheetViews>
  <sheetFormatPr baseColWidth="10" defaultColWidth="12.625" defaultRowHeight="15" customHeight="1" x14ac:dyDescent="0.2"/>
  <cols>
    <col min="1" max="1" width="27.375" style="2" customWidth="1"/>
    <col min="2" max="2" width="24.875" style="2" customWidth="1"/>
    <col min="3" max="3" width="23.25" style="2" customWidth="1"/>
    <col min="4" max="4" width="34.875" style="2" customWidth="1"/>
    <col min="5" max="5" width="19" style="24" customWidth="1"/>
    <col min="6" max="6" width="16.375" style="2" customWidth="1"/>
    <col min="7" max="7" width="20.25" style="2" customWidth="1"/>
    <col min="8" max="8" width="19.25" style="5" customWidth="1"/>
    <col min="9" max="9" width="11.5" style="5" customWidth="1"/>
    <col min="10" max="10" width="15.375" style="5" customWidth="1"/>
    <col min="11" max="11" width="15.375" style="4" customWidth="1"/>
    <col min="12" max="12" width="19" style="4" customWidth="1"/>
    <col min="13" max="13" width="17.875" style="3" customWidth="1"/>
    <col min="14" max="16384" width="12.625" style="2"/>
  </cols>
  <sheetData>
    <row r="1" spans="1:13" ht="19.5" customHeight="1" x14ac:dyDescent="0.2">
      <c r="A1" s="10"/>
      <c r="B1" s="101" t="s">
        <v>14</v>
      </c>
      <c r="C1" s="102"/>
      <c r="D1" s="102"/>
      <c r="E1" s="102"/>
      <c r="F1" s="102"/>
      <c r="G1" s="102"/>
      <c r="H1" s="102"/>
      <c r="I1" s="102"/>
      <c r="J1" s="46"/>
      <c r="K1" s="100" t="s">
        <v>58</v>
      </c>
      <c r="L1" s="100"/>
      <c r="M1" s="100"/>
    </row>
    <row r="2" spans="1:13" ht="19.5" customHeight="1" x14ac:dyDescent="0.2">
      <c r="A2" s="11"/>
      <c r="B2" s="103"/>
      <c r="C2" s="104"/>
      <c r="D2" s="104"/>
      <c r="E2" s="104"/>
      <c r="F2" s="104"/>
      <c r="G2" s="104"/>
      <c r="H2" s="104"/>
      <c r="I2" s="104"/>
      <c r="J2" s="47"/>
      <c r="K2" s="100" t="s">
        <v>51</v>
      </c>
      <c r="L2" s="100"/>
      <c r="M2" s="100"/>
    </row>
    <row r="3" spans="1:13" ht="19.5" customHeight="1" x14ac:dyDescent="0.2">
      <c r="A3" s="11"/>
      <c r="B3" s="103"/>
      <c r="C3" s="104"/>
      <c r="D3" s="104"/>
      <c r="E3" s="104"/>
      <c r="F3" s="104"/>
      <c r="G3" s="104"/>
      <c r="H3" s="104"/>
      <c r="I3" s="104"/>
      <c r="J3" s="47"/>
      <c r="K3" s="60" t="s">
        <v>68</v>
      </c>
      <c r="L3" s="60"/>
      <c r="M3" s="60"/>
    </row>
    <row r="4" spans="1:13" ht="33" customHeight="1" x14ac:dyDescent="0.2">
      <c r="A4" s="12"/>
      <c r="B4" s="105"/>
      <c r="C4" s="106"/>
      <c r="D4" s="106"/>
      <c r="E4" s="106"/>
      <c r="F4" s="106"/>
      <c r="G4" s="106"/>
      <c r="H4" s="106"/>
      <c r="I4" s="106"/>
      <c r="J4" s="48"/>
      <c r="K4" s="100" t="s">
        <v>15</v>
      </c>
      <c r="L4" s="100"/>
      <c r="M4" s="100"/>
    </row>
    <row r="5" spans="1:13" ht="15" customHeight="1" x14ac:dyDescent="0.2">
      <c r="A5" s="13"/>
      <c r="B5" s="13"/>
      <c r="C5" s="13"/>
      <c r="D5" s="13"/>
      <c r="E5" s="23"/>
      <c r="F5" s="13"/>
      <c r="G5" s="13"/>
      <c r="H5" s="14"/>
      <c r="I5" s="14"/>
      <c r="J5" s="14"/>
      <c r="K5" s="15"/>
      <c r="L5" s="15"/>
      <c r="M5" s="16"/>
    </row>
    <row r="6" spans="1:13" s="36" customFormat="1" ht="33" customHeight="1" x14ac:dyDescent="0.2">
      <c r="A6" s="34" t="s">
        <v>9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35" t="s">
        <v>23</v>
      </c>
      <c r="M6" s="35" t="s">
        <v>26</v>
      </c>
    </row>
    <row r="7" spans="1:13" s="36" customFormat="1" ht="35.25" customHeight="1" x14ac:dyDescent="0.2">
      <c r="A7" s="34" t="s">
        <v>10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6"/>
      <c r="M7" s="70"/>
    </row>
    <row r="8" spans="1:13" s="36" customFormat="1" ht="30" customHeight="1" x14ac:dyDescent="0.2">
      <c r="A8" s="34" t="s">
        <v>11</v>
      </c>
      <c r="B8" s="49"/>
      <c r="C8" s="50"/>
      <c r="D8" s="34" t="s">
        <v>12</v>
      </c>
      <c r="E8" s="91"/>
      <c r="F8" s="92"/>
      <c r="G8" s="93"/>
      <c r="H8" s="34" t="s">
        <v>50</v>
      </c>
      <c r="I8" s="91"/>
      <c r="J8" s="92"/>
      <c r="K8" s="93"/>
      <c r="L8" s="97"/>
      <c r="M8" s="71"/>
    </row>
    <row r="9" spans="1:13" s="36" customFormat="1" ht="15" customHeight="1" x14ac:dyDescent="0.2">
      <c r="A9" s="37"/>
      <c r="B9" s="37"/>
      <c r="C9" s="37"/>
      <c r="D9" s="37"/>
      <c r="E9" s="38"/>
      <c r="F9" s="37"/>
      <c r="G9" s="37"/>
      <c r="H9" s="39"/>
      <c r="I9" s="39"/>
      <c r="J9" s="39"/>
      <c r="K9" s="37"/>
      <c r="L9" s="37"/>
      <c r="M9" s="37"/>
    </row>
    <row r="10" spans="1:13" s="36" customFormat="1" ht="33" customHeight="1" x14ac:dyDescent="0.2">
      <c r="A10" s="94" t="s">
        <v>3</v>
      </c>
      <c r="B10" s="94"/>
      <c r="C10" s="94"/>
      <c r="D10" s="94"/>
      <c r="E10" s="94"/>
      <c r="F10" s="99" t="s">
        <v>6</v>
      </c>
      <c r="G10" s="99"/>
      <c r="H10" s="99" t="s">
        <v>39</v>
      </c>
      <c r="I10" s="99"/>
      <c r="J10" s="99"/>
      <c r="K10" s="99"/>
      <c r="L10" s="95" t="s">
        <v>47</v>
      </c>
      <c r="M10" s="95" t="s">
        <v>25</v>
      </c>
    </row>
    <row r="11" spans="1:13" s="43" customFormat="1" ht="82.5" customHeight="1" x14ac:dyDescent="0.2">
      <c r="A11" s="35" t="s">
        <v>5</v>
      </c>
      <c r="B11" s="40" t="s">
        <v>0</v>
      </c>
      <c r="C11" s="40" t="s">
        <v>46</v>
      </c>
      <c r="D11" s="40" t="s">
        <v>45</v>
      </c>
      <c r="E11" s="41" t="s">
        <v>21</v>
      </c>
      <c r="F11" s="40" t="s">
        <v>1</v>
      </c>
      <c r="G11" s="40" t="s">
        <v>8</v>
      </c>
      <c r="H11" s="35" t="s">
        <v>7</v>
      </c>
      <c r="I11" s="35" t="s">
        <v>2</v>
      </c>
      <c r="J11" s="42" t="s">
        <v>48</v>
      </c>
      <c r="K11" s="42" t="s">
        <v>49</v>
      </c>
      <c r="L11" s="95"/>
      <c r="M11" s="95"/>
    </row>
    <row r="12" spans="1:13" ht="33.75" customHeight="1" x14ac:dyDescent="0.2">
      <c r="A12" s="98"/>
      <c r="B12" s="98"/>
      <c r="C12" s="7"/>
      <c r="D12" s="7"/>
      <c r="E12" s="25"/>
      <c r="F12" s="8"/>
      <c r="G12" s="7"/>
      <c r="H12" s="6"/>
      <c r="I12" s="6"/>
      <c r="J12" s="6"/>
      <c r="K12" s="17"/>
      <c r="L12" s="17"/>
      <c r="M12" s="17"/>
    </row>
    <row r="13" spans="1:13" ht="33.75" customHeight="1" x14ac:dyDescent="0.2">
      <c r="A13" s="98"/>
      <c r="B13" s="98"/>
      <c r="C13" s="7"/>
      <c r="D13" s="7"/>
      <c r="E13" s="25"/>
      <c r="F13" s="8"/>
      <c r="G13" s="7"/>
      <c r="H13" s="6"/>
      <c r="I13" s="6"/>
      <c r="J13" s="6"/>
      <c r="K13" s="17"/>
      <c r="L13" s="17"/>
      <c r="M13" s="17"/>
    </row>
    <row r="14" spans="1:13" ht="33.75" customHeight="1" x14ac:dyDescent="0.2">
      <c r="A14" s="98"/>
      <c r="B14" s="98"/>
      <c r="C14" s="18"/>
      <c r="D14" s="18"/>
      <c r="E14" s="26"/>
      <c r="F14" s="8"/>
      <c r="G14" s="7"/>
      <c r="H14" s="6"/>
      <c r="I14" s="6"/>
      <c r="J14" s="6"/>
      <c r="K14" s="17"/>
      <c r="L14" s="17"/>
      <c r="M14" s="17"/>
    </row>
    <row r="15" spans="1:13" ht="33.75" customHeight="1" x14ac:dyDescent="0.2">
      <c r="A15" s="98"/>
      <c r="B15" s="98"/>
      <c r="C15" s="7"/>
      <c r="D15" s="7"/>
      <c r="E15" s="25"/>
      <c r="F15" s="8"/>
      <c r="G15" s="19"/>
      <c r="H15" s="6"/>
      <c r="I15" s="6"/>
      <c r="J15" s="6"/>
      <c r="K15" s="17"/>
      <c r="L15" s="17"/>
      <c r="M15" s="17"/>
    </row>
    <row r="16" spans="1:13" ht="33.75" customHeight="1" x14ac:dyDescent="0.2">
      <c r="A16" s="98"/>
      <c r="B16" s="98"/>
      <c r="C16" s="7"/>
      <c r="D16" s="7"/>
      <c r="E16" s="25"/>
      <c r="F16" s="8"/>
      <c r="G16" s="7"/>
      <c r="H16" s="6"/>
      <c r="I16" s="6"/>
      <c r="J16" s="6"/>
      <c r="K16" s="17"/>
      <c r="L16" s="17"/>
      <c r="M16" s="17"/>
    </row>
    <row r="17" spans="1:13" ht="33.75" customHeight="1" x14ac:dyDescent="0.2">
      <c r="A17" s="98"/>
      <c r="B17" s="98"/>
      <c r="C17" s="7"/>
      <c r="D17" s="7"/>
      <c r="E17" s="25"/>
      <c r="F17" s="8"/>
      <c r="G17" s="7"/>
      <c r="H17" s="6"/>
      <c r="I17" s="6"/>
      <c r="J17" s="6"/>
      <c r="K17" s="17"/>
      <c r="L17" s="17"/>
      <c r="M17" s="17"/>
    </row>
    <row r="18" spans="1:13" ht="33.75" customHeight="1" x14ac:dyDescent="0.2">
      <c r="A18" s="98"/>
      <c r="B18" s="98"/>
      <c r="C18" s="7"/>
      <c r="D18" s="7"/>
      <c r="E18" s="25"/>
      <c r="F18" s="8"/>
      <c r="G18" s="7"/>
      <c r="H18" s="6"/>
      <c r="I18" s="6"/>
      <c r="J18" s="6"/>
      <c r="K18" s="17"/>
      <c r="L18" s="17"/>
      <c r="M18" s="17"/>
    </row>
    <row r="19" spans="1:13" ht="33.75" customHeight="1" x14ac:dyDescent="0.2">
      <c r="A19" s="89"/>
      <c r="B19" s="98"/>
      <c r="C19" s="7"/>
      <c r="D19" s="7"/>
      <c r="E19" s="25"/>
      <c r="F19" s="8"/>
      <c r="G19" s="7"/>
      <c r="H19" s="6"/>
      <c r="I19" s="6"/>
      <c r="J19" s="6"/>
      <c r="K19" s="17"/>
      <c r="L19" s="17"/>
      <c r="M19" s="17"/>
    </row>
    <row r="20" spans="1:13" ht="33.75" customHeight="1" x14ac:dyDescent="0.2">
      <c r="A20" s="89"/>
      <c r="B20" s="98"/>
      <c r="C20" s="7"/>
      <c r="D20" s="7"/>
      <c r="E20" s="25"/>
      <c r="F20" s="8"/>
      <c r="G20" s="7"/>
      <c r="H20" s="6"/>
      <c r="I20" s="6"/>
      <c r="J20" s="6"/>
      <c r="K20" s="17"/>
      <c r="L20" s="17"/>
      <c r="M20" s="17"/>
    </row>
    <row r="21" spans="1:13" ht="33.75" customHeight="1" x14ac:dyDescent="0.2">
      <c r="A21" s="89"/>
      <c r="B21" s="98"/>
      <c r="C21" s="9"/>
      <c r="D21" s="9"/>
      <c r="E21" s="27"/>
      <c r="F21" s="8"/>
      <c r="G21" s="7"/>
      <c r="H21" s="6"/>
      <c r="I21" s="6"/>
      <c r="J21" s="6"/>
      <c r="K21" s="17"/>
      <c r="L21" s="17"/>
      <c r="M21" s="17"/>
    </row>
    <row r="22" spans="1:13" ht="33.75" customHeight="1" x14ac:dyDescent="0.2">
      <c r="A22" s="89"/>
      <c r="B22" s="98"/>
      <c r="C22" s="7"/>
      <c r="D22" s="7"/>
      <c r="E22" s="25"/>
      <c r="F22" s="8"/>
      <c r="G22" s="19"/>
      <c r="H22" s="6"/>
      <c r="I22" s="6"/>
      <c r="J22" s="6"/>
      <c r="K22" s="17"/>
      <c r="L22" s="17"/>
      <c r="M22" s="17"/>
    </row>
    <row r="23" spans="1:13" ht="33.75" customHeight="1" x14ac:dyDescent="0.2">
      <c r="A23" s="89"/>
      <c r="B23" s="98"/>
      <c r="C23" s="7"/>
      <c r="D23" s="7"/>
      <c r="E23" s="25"/>
      <c r="F23" s="8"/>
      <c r="G23" s="7"/>
      <c r="H23" s="6"/>
      <c r="I23" s="6"/>
      <c r="J23" s="6"/>
      <c r="K23" s="17"/>
      <c r="L23" s="17"/>
      <c r="M23" s="17"/>
    </row>
    <row r="24" spans="1:13" ht="33.75" customHeight="1" x14ac:dyDescent="0.2">
      <c r="A24" s="89"/>
      <c r="B24" s="98"/>
      <c r="C24" s="7"/>
      <c r="D24" s="7"/>
      <c r="E24" s="25"/>
      <c r="F24" s="8"/>
      <c r="G24" s="7"/>
      <c r="H24" s="6"/>
      <c r="I24" s="6"/>
      <c r="J24" s="6"/>
      <c r="K24" s="17"/>
      <c r="L24" s="17"/>
      <c r="M24" s="17"/>
    </row>
    <row r="25" spans="1:13" ht="33.75" customHeight="1" x14ac:dyDescent="0.2">
      <c r="A25" s="89"/>
      <c r="B25" s="98"/>
      <c r="C25" s="7"/>
      <c r="D25" s="7"/>
      <c r="E25" s="25"/>
      <c r="F25" s="8"/>
      <c r="G25" s="7"/>
      <c r="H25" s="6"/>
      <c r="I25" s="6"/>
      <c r="J25" s="6"/>
      <c r="K25" s="17"/>
      <c r="L25" s="17"/>
      <c r="M25" s="17"/>
    </row>
    <row r="26" spans="1:13" x14ac:dyDescent="0.2">
      <c r="A26" s="13"/>
      <c r="B26" s="13"/>
      <c r="C26" s="69" t="s">
        <v>4</v>
      </c>
      <c r="D26" s="69"/>
      <c r="E26" s="69"/>
      <c r="F26" s="69"/>
      <c r="G26" s="69"/>
      <c r="H26" s="69"/>
      <c r="I26" s="69"/>
      <c r="J26" s="45"/>
      <c r="K26" s="21">
        <f>SUM(K12:K25)</f>
        <v>0</v>
      </c>
      <c r="L26" s="21">
        <f>SUM(L12:L25)</f>
        <v>0</v>
      </c>
      <c r="M26" s="21">
        <f>SUM(M12:M25)</f>
        <v>0</v>
      </c>
    </row>
    <row r="27" spans="1:13" ht="15.75" customHeight="1" x14ac:dyDescent="0.2">
      <c r="A27" s="13"/>
      <c r="B27" s="13"/>
      <c r="C27" s="13"/>
      <c r="D27" s="13"/>
      <c r="E27" s="23"/>
      <c r="F27" s="13"/>
      <c r="G27" s="13"/>
      <c r="H27" s="13"/>
      <c r="I27" s="14"/>
      <c r="J27" s="14"/>
      <c r="K27" s="15"/>
      <c r="L27" s="15"/>
      <c r="M27" s="16"/>
    </row>
    <row r="28" spans="1:13" ht="15.75" customHeight="1" x14ac:dyDescent="0.2">
      <c r="A28" s="13" t="s">
        <v>40</v>
      </c>
      <c r="B28" s="13"/>
      <c r="C28" s="13"/>
      <c r="D28" s="13"/>
      <c r="E28" s="23"/>
      <c r="F28" s="13"/>
      <c r="G28" s="13"/>
      <c r="H28" s="14"/>
      <c r="I28" s="14"/>
      <c r="J28" s="14"/>
      <c r="K28" s="15"/>
      <c r="L28" s="15"/>
      <c r="M28" s="16"/>
    </row>
    <row r="29" spans="1:13" ht="8.25" customHeight="1" x14ac:dyDescent="0.2">
      <c r="A29" s="13"/>
      <c r="B29" s="13"/>
      <c r="C29" s="13"/>
      <c r="D29" s="13"/>
      <c r="E29" s="23"/>
      <c r="F29" s="13"/>
      <c r="H29" s="14"/>
      <c r="I29" s="14"/>
      <c r="J29" s="14"/>
      <c r="K29" s="15"/>
      <c r="L29" s="15"/>
      <c r="M29" s="16"/>
    </row>
    <row r="30" spans="1:13" ht="6.75" customHeight="1" x14ac:dyDescent="0.2">
      <c r="A30" s="13"/>
      <c r="B30" s="13"/>
      <c r="C30" s="13"/>
      <c r="D30" s="13"/>
      <c r="E30" s="23"/>
      <c r="F30" s="13"/>
      <c r="G30" s="13"/>
      <c r="H30" s="14"/>
      <c r="I30" s="14"/>
      <c r="J30" s="14"/>
      <c r="K30" s="15"/>
      <c r="L30" s="15"/>
      <c r="M30" s="16"/>
    </row>
    <row r="31" spans="1:13" ht="4.5" customHeight="1" x14ac:dyDescent="0.2">
      <c r="A31" s="13"/>
      <c r="B31" s="13"/>
      <c r="C31" s="13"/>
      <c r="D31" s="13"/>
      <c r="E31" s="23"/>
      <c r="F31" s="13"/>
      <c r="G31" s="13"/>
      <c r="H31" s="14"/>
      <c r="I31" s="14"/>
      <c r="J31" s="14"/>
      <c r="K31" s="15"/>
      <c r="L31" s="15"/>
      <c r="M31" s="16"/>
    </row>
    <row r="32" spans="1:13" ht="5.25" customHeight="1" x14ac:dyDescent="0.2">
      <c r="A32" s="13"/>
      <c r="B32" s="13"/>
      <c r="C32" s="13"/>
      <c r="D32" s="13"/>
      <c r="E32" s="23"/>
      <c r="F32" s="13"/>
      <c r="G32" s="13"/>
      <c r="H32" s="14"/>
      <c r="I32" s="14"/>
      <c r="J32" s="14"/>
      <c r="K32" s="15"/>
      <c r="L32" s="15"/>
      <c r="M32" s="16"/>
    </row>
    <row r="33" spans="1:13" ht="15.75" hidden="1" customHeight="1" x14ac:dyDescent="0.2">
      <c r="A33" s="13"/>
      <c r="B33" s="13"/>
      <c r="C33" s="13"/>
      <c r="D33" s="13"/>
      <c r="E33" s="23"/>
      <c r="F33" s="13"/>
      <c r="G33" s="13"/>
      <c r="H33" s="14"/>
      <c r="I33" s="14"/>
      <c r="J33" s="14"/>
      <c r="K33" s="15"/>
      <c r="L33" s="15"/>
      <c r="M33" s="16"/>
    </row>
    <row r="34" spans="1:13" ht="30" customHeight="1" x14ac:dyDescent="0.2">
      <c r="A34" s="22" t="s">
        <v>18</v>
      </c>
      <c r="B34" s="13"/>
      <c r="C34" s="13"/>
      <c r="D34" s="13"/>
      <c r="E34" s="23"/>
      <c r="F34" s="13"/>
      <c r="G34" s="13"/>
      <c r="H34" s="14"/>
      <c r="I34" s="14"/>
      <c r="J34" s="14"/>
      <c r="K34" s="15"/>
      <c r="L34" s="15"/>
      <c r="M34" s="16"/>
    </row>
    <row r="35" spans="1:13" ht="21.75" customHeight="1" x14ac:dyDescent="0.2">
      <c r="A35" s="15" t="s">
        <v>17</v>
      </c>
      <c r="B35" s="13"/>
      <c r="C35" s="13"/>
      <c r="D35" s="13"/>
      <c r="E35" s="23"/>
      <c r="F35" s="13"/>
      <c r="G35" s="13"/>
      <c r="H35" s="14"/>
      <c r="I35" s="14"/>
      <c r="J35" s="14"/>
      <c r="K35" s="15"/>
      <c r="L35" s="15"/>
      <c r="M35" s="16"/>
    </row>
    <row r="36" spans="1:13" ht="21.75" customHeight="1" x14ac:dyDescent="0.2">
      <c r="A36" s="15" t="s">
        <v>19</v>
      </c>
      <c r="B36" s="13"/>
      <c r="C36" s="13"/>
      <c r="D36" s="13"/>
      <c r="E36" s="23"/>
      <c r="F36" s="13"/>
      <c r="G36" s="13"/>
      <c r="H36" s="14"/>
      <c r="I36" s="14"/>
      <c r="J36" s="14"/>
      <c r="K36" s="15"/>
      <c r="L36" s="15"/>
      <c r="M36" s="16"/>
    </row>
    <row r="37" spans="1:13" ht="23.25" customHeight="1" x14ac:dyDescent="0.2">
      <c r="A37" s="15" t="s">
        <v>20</v>
      </c>
      <c r="B37" s="13"/>
      <c r="C37" s="13"/>
      <c r="D37" s="13"/>
      <c r="E37" s="23"/>
      <c r="F37" s="13"/>
      <c r="G37" s="13"/>
      <c r="H37" s="14"/>
      <c r="I37" s="14"/>
      <c r="J37" s="14"/>
      <c r="K37" s="15"/>
      <c r="L37" s="15"/>
      <c r="M37" s="16"/>
    </row>
    <row r="38" spans="1:13" ht="23.25" customHeight="1" x14ac:dyDescent="0.2">
      <c r="A38" s="15" t="s">
        <v>22</v>
      </c>
      <c r="B38" s="13"/>
      <c r="C38" s="13"/>
      <c r="D38" s="13"/>
      <c r="E38" s="23"/>
      <c r="F38" s="13"/>
      <c r="G38" s="13"/>
      <c r="H38" s="14"/>
      <c r="I38" s="14"/>
      <c r="J38" s="14"/>
      <c r="K38" s="15"/>
      <c r="L38" s="15"/>
      <c r="M38" s="16"/>
    </row>
    <row r="39" spans="1:13" ht="15.75" customHeight="1" x14ac:dyDescent="0.2">
      <c r="A39" s="13"/>
      <c r="B39" s="13"/>
      <c r="C39" s="13"/>
      <c r="D39" s="13"/>
      <c r="E39" s="23"/>
      <c r="F39" s="13"/>
      <c r="G39" s="13"/>
      <c r="H39" s="14"/>
      <c r="I39" s="14"/>
      <c r="J39" s="14"/>
      <c r="K39" s="15"/>
      <c r="L39" s="15"/>
      <c r="M39" s="16"/>
    </row>
    <row r="40" spans="1:13" ht="15.75" customHeight="1" x14ac:dyDescent="0.25">
      <c r="A40" s="28" t="s">
        <v>24</v>
      </c>
      <c r="B40" s="13"/>
      <c r="C40" s="13"/>
      <c r="D40" s="13"/>
      <c r="E40" s="23"/>
      <c r="F40" s="13"/>
      <c r="G40" s="13"/>
      <c r="H40" s="14"/>
      <c r="I40" s="14"/>
      <c r="J40" s="14"/>
      <c r="K40" s="15"/>
      <c r="L40" s="15"/>
      <c r="M40" s="16"/>
    </row>
    <row r="41" spans="1:13" ht="14.25" x14ac:dyDescent="0.2">
      <c r="A41" s="13"/>
      <c r="B41" s="13"/>
      <c r="C41" s="13"/>
      <c r="D41" s="13"/>
      <c r="E41" s="23"/>
      <c r="F41" s="13"/>
      <c r="G41" s="13"/>
      <c r="H41" s="14"/>
      <c r="I41" s="14"/>
      <c r="J41" s="14"/>
      <c r="K41" s="15"/>
      <c r="L41" s="15"/>
      <c r="M41" s="16"/>
    </row>
    <row r="42" spans="1:13" ht="14.25" x14ac:dyDescent="0.2">
      <c r="A42" s="13"/>
      <c r="B42" s="13"/>
      <c r="C42" s="13"/>
      <c r="D42" s="13"/>
      <c r="E42" s="23"/>
      <c r="F42" s="13"/>
      <c r="G42" s="13"/>
      <c r="H42" s="14"/>
      <c r="I42" s="14"/>
      <c r="J42" s="14"/>
      <c r="K42" s="15"/>
      <c r="L42" s="15"/>
      <c r="M42" s="16"/>
    </row>
    <row r="43" spans="1:13" ht="14.25" x14ac:dyDescent="0.2">
      <c r="A43" s="62" t="s">
        <v>52</v>
      </c>
      <c r="B43" s="62"/>
      <c r="C43" s="62"/>
      <c r="D43" s="62"/>
      <c r="E43" s="62"/>
      <c r="F43" s="13"/>
      <c r="G43" s="13"/>
      <c r="H43" s="14"/>
      <c r="I43" s="14"/>
      <c r="J43" s="14"/>
      <c r="K43" s="15"/>
      <c r="L43" s="15"/>
      <c r="M43" s="16"/>
    </row>
    <row r="44" spans="1:13" ht="14.25" x14ac:dyDescent="0.2">
      <c r="A44" s="51" t="s">
        <v>53</v>
      </c>
      <c r="B44" s="59" t="s">
        <v>54</v>
      </c>
      <c r="C44" s="59"/>
      <c r="D44" s="59"/>
      <c r="E44" s="52" t="s">
        <v>55</v>
      </c>
      <c r="F44" s="13"/>
      <c r="G44" s="13"/>
      <c r="H44" s="14"/>
      <c r="I44" s="14"/>
      <c r="J44" s="14"/>
      <c r="K44" s="15"/>
      <c r="L44" s="15"/>
      <c r="M44" s="16"/>
    </row>
    <row r="45" spans="1:13" ht="30.75" customHeight="1" x14ac:dyDescent="0.2">
      <c r="A45" s="53">
        <v>1</v>
      </c>
      <c r="B45" s="60" t="s">
        <v>56</v>
      </c>
      <c r="C45" s="60"/>
      <c r="D45" s="60"/>
      <c r="E45" s="54">
        <v>45259</v>
      </c>
      <c r="F45" s="13"/>
      <c r="G45" s="13"/>
      <c r="H45" s="14"/>
      <c r="I45" s="14"/>
      <c r="J45" s="14"/>
      <c r="K45" s="15"/>
      <c r="L45" s="15"/>
      <c r="M45" s="16"/>
    </row>
    <row r="46" spans="1:13" ht="59.25" customHeight="1" x14ac:dyDescent="0.2">
      <c r="A46" s="53">
        <v>2</v>
      </c>
      <c r="B46" s="61" t="s">
        <v>57</v>
      </c>
      <c r="C46" s="61"/>
      <c r="D46" s="61"/>
      <c r="E46" s="55">
        <v>45821</v>
      </c>
      <c r="F46" s="13"/>
      <c r="G46" s="13"/>
      <c r="H46" s="14"/>
      <c r="I46" s="14"/>
      <c r="J46" s="14"/>
      <c r="K46" s="15"/>
      <c r="L46" s="15"/>
      <c r="M46" s="16"/>
    </row>
    <row r="47" spans="1:13" ht="14.25" x14ac:dyDescent="0.2">
      <c r="A47" s="29"/>
      <c r="B47" s="29"/>
      <c r="C47" s="29"/>
      <c r="D47" s="29"/>
      <c r="E47" s="30"/>
      <c r="F47" s="29"/>
      <c r="G47" s="29"/>
      <c r="H47" s="31"/>
      <c r="I47" s="31"/>
      <c r="J47" s="31"/>
      <c r="K47" s="32"/>
      <c r="L47" s="32"/>
      <c r="M47" s="33"/>
    </row>
    <row r="48" spans="1:13" ht="14.25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</row>
    <row r="49" spans="1:13" ht="14.25" x14ac:dyDescent="0.2">
      <c r="A49" s="88" t="s">
        <v>41</v>
      </c>
      <c r="B49" s="88"/>
      <c r="C49" s="88"/>
      <c r="D49" s="88"/>
      <c r="E49" s="88"/>
      <c r="F49" s="73" t="s">
        <v>42</v>
      </c>
      <c r="G49" s="74"/>
      <c r="H49" s="74"/>
      <c r="I49" s="74"/>
      <c r="J49" s="75"/>
      <c r="K49" s="73" t="s">
        <v>43</v>
      </c>
      <c r="L49" s="74"/>
      <c r="M49" s="75"/>
    </row>
    <row r="50" spans="1:13" ht="30.75" customHeight="1" x14ac:dyDescent="0.2">
      <c r="A50" s="86" t="s">
        <v>59</v>
      </c>
      <c r="B50" s="86"/>
      <c r="C50" s="86"/>
      <c r="D50" s="86"/>
      <c r="E50" s="86"/>
      <c r="F50" s="56" t="s">
        <v>60</v>
      </c>
      <c r="G50" s="57"/>
      <c r="H50" s="57"/>
      <c r="I50" s="57"/>
      <c r="J50" s="58"/>
      <c r="K50" s="76" t="s">
        <v>67</v>
      </c>
      <c r="L50" s="77"/>
      <c r="M50" s="78"/>
    </row>
    <row r="51" spans="1:13" ht="45.75" customHeight="1" x14ac:dyDescent="0.2">
      <c r="A51" s="87" t="s">
        <v>61</v>
      </c>
      <c r="B51" s="87"/>
      <c r="C51" s="87"/>
      <c r="D51" s="87"/>
      <c r="E51" s="87"/>
      <c r="F51" s="56" t="s">
        <v>62</v>
      </c>
      <c r="G51" s="57"/>
      <c r="H51" s="57"/>
      <c r="I51" s="57"/>
      <c r="J51" s="58"/>
      <c r="K51" s="79"/>
      <c r="L51" s="80"/>
      <c r="M51" s="81"/>
    </row>
    <row r="52" spans="1:13" ht="71.25" customHeight="1" x14ac:dyDescent="0.2">
      <c r="A52" s="87" t="s">
        <v>44</v>
      </c>
      <c r="B52" s="87"/>
      <c r="C52" s="87"/>
      <c r="D52" s="87"/>
      <c r="E52" s="87"/>
      <c r="F52" s="63" t="s">
        <v>44</v>
      </c>
      <c r="G52" s="64"/>
      <c r="H52" s="64"/>
      <c r="I52" s="64"/>
      <c r="J52" s="65"/>
      <c r="K52" s="82"/>
      <c r="L52" s="83"/>
      <c r="M52" s="84"/>
    </row>
    <row r="53" spans="1:13" ht="15.75" customHeight="1" x14ac:dyDescent="0.2">
      <c r="A53" s="87" t="s">
        <v>63</v>
      </c>
      <c r="B53" s="87"/>
      <c r="C53" s="87"/>
      <c r="D53" s="87"/>
      <c r="E53" s="87"/>
      <c r="F53" s="66" t="s">
        <v>64</v>
      </c>
      <c r="G53" s="67"/>
      <c r="H53" s="67"/>
      <c r="I53" s="67"/>
      <c r="J53" s="68"/>
      <c r="K53" s="85" t="s">
        <v>66</v>
      </c>
      <c r="L53" s="85"/>
      <c r="M53" s="85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6.5" customHeight="1" x14ac:dyDescent="0.2"/>
  </sheetData>
  <mergeCells count="41">
    <mergeCell ref="K1:M1"/>
    <mergeCell ref="K2:M2"/>
    <mergeCell ref="K3:M3"/>
    <mergeCell ref="K4:M4"/>
    <mergeCell ref="B1:I4"/>
    <mergeCell ref="B19:B22"/>
    <mergeCell ref="B23:B25"/>
    <mergeCell ref="A12:A18"/>
    <mergeCell ref="H10:K10"/>
    <mergeCell ref="B12:B15"/>
    <mergeCell ref="B16:B18"/>
    <mergeCell ref="F10:G10"/>
    <mergeCell ref="B6:K6"/>
    <mergeCell ref="B7:K7"/>
    <mergeCell ref="I8:K8"/>
    <mergeCell ref="A10:E10"/>
    <mergeCell ref="M10:M11"/>
    <mergeCell ref="E8:G8"/>
    <mergeCell ref="L10:L11"/>
    <mergeCell ref="L7:L8"/>
    <mergeCell ref="F52:J52"/>
    <mergeCell ref="F53:J53"/>
    <mergeCell ref="C26:I26"/>
    <mergeCell ref="M7:M8"/>
    <mergeCell ref="A48:M48"/>
    <mergeCell ref="K49:M49"/>
    <mergeCell ref="K50:M52"/>
    <mergeCell ref="K53:M53"/>
    <mergeCell ref="A50:E50"/>
    <mergeCell ref="A51:E51"/>
    <mergeCell ref="A52:E52"/>
    <mergeCell ref="A49:E49"/>
    <mergeCell ref="A53:E53"/>
    <mergeCell ref="F49:J49"/>
    <mergeCell ref="F50:J50"/>
    <mergeCell ref="A19:A25"/>
    <mergeCell ref="F51:J51"/>
    <mergeCell ref="B44:D44"/>
    <mergeCell ref="B45:D45"/>
    <mergeCell ref="B46:D46"/>
    <mergeCell ref="A43:E43"/>
  </mergeCells>
  <printOptions horizontalCentered="1"/>
  <pageMargins left="1.1811023622047245" right="0.70866141732283472" top="0.74803149606299213" bottom="0.74803149606299213" header="0" footer="0"/>
  <pageSetup paperSize="5" scale="50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5C12-4EFE-4C94-A437-3C90FD3AFF15}">
  <dimension ref="A1:M248"/>
  <sheetViews>
    <sheetView tabSelected="1" topLeftCell="A2" zoomScale="80" zoomScaleNormal="80" zoomScaleSheetLayoutView="85" workbookViewId="0">
      <selection activeCell="H18" sqref="H18"/>
    </sheetView>
  </sheetViews>
  <sheetFormatPr baseColWidth="10" defaultColWidth="12.625" defaultRowHeight="15" customHeight="1" x14ac:dyDescent="0.2"/>
  <cols>
    <col min="1" max="1" width="27.375" style="2" customWidth="1"/>
    <col min="2" max="2" width="24.875" style="2" customWidth="1"/>
    <col min="3" max="3" width="18.75" style="2" customWidth="1"/>
    <col min="4" max="4" width="18.5" style="24" customWidth="1"/>
    <col min="5" max="6" width="18.5" style="2" customWidth="1"/>
    <col min="7" max="10" width="18.5" style="5" customWidth="1"/>
    <col min="11" max="11" width="18.5" style="4" customWidth="1"/>
    <col min="12" max="12" width="14.75" style="4" bestFit="1" customWidth="1"/>
    <col min="13" max="13" width="17.75" style="3" bestFit="1" customWidth="1"/>
    <col min="14" max="16384" width="12.625" style="2"/>
  </cols>
  <sheetData>
    <row r="1" spans="1:13" ht="19.5" customHeight="1" x14ac:dyDescent="0.2">
      <c r="A1" s="10"/>
      <c r="B1" s="123" t="s">
        <v>14</v>
      </c>
      <c r="C1" s="124"/>
      <c r="D1" s="124"/>
      <c r="E1" s="124"/>
      <c r="F1" s="124"/>
      <c r="G1" s="124"/>
      <c r="H1" s="124"/>
      <c r="I1" s="124"/>
      <c r="J1" s="125"/>
      <c r="K1" s="100" t="s">
        <v>58</v>
      </c>
      <c r="L1" s="100"/>
      <c r="M1" s="100"/>
    </row>
    <row r="2" spans="1:13" ht="19.5" customHeight="1" x14ac:dyDescent="0.2">
      <c r="A2" s="11"/>
      <c r="B2" s="126"/>
      <c r="C2" s="127"/>
      <c r="D2" s="127"/>
      <c r="E2" s="127"/>
      <c r="F2" s="127"/>
      <c r="G2" s="127"/>
      <c r="H2" s="127"/>
      <c r="I2" s="127"/>
      <c r="J2" s="128"/>
      <c r="K2" s="100" t="s">
        <v>51</v>
      </c>
      <c r="L2" s="100"/>
      <c r="M2" s="100"/>
    </row>
    <row r="3" spans="1:13" ht="19.5" customHeight="1" x14ac:dyDescent="0.2">
      <c r="A3" s="11"/>
      <c r="B3" s="126"/>
      <c r="C3" s="127"/>
      <c r="D3" s="127"/>
      <c r="E3" s="127"/>
      <c r="F3" s="127"/>
      <c r="G3" s="127"/>
      <c r="H3" s="127"/>
      <c r="I3" s="127"/>
      <c r="J3" s="128"/>
      <c r="K3" s="60" t="s">
        <v>69</v>
      </c>
      <c r="L3" s="60"/>
      <c r="M3" s="60"/>
    </row>
    <row r="4" spans="1:13" ht="19.5" customHeight="1" x14ac:dyDescent="0.2">
      <c r="A4" s="12"/>
      <c r="B4" s="129"/>
      <c r="C4" s="130"/>
      <c r="D4" s="130"/>
      <c r="E4" s="130"/>
      <c r="F4" s="130"/>
      <c r="G4" s="130"/>
      <c r="H4" s="130"/>
      <c r="I4" s="130"/>
      <c r="J4" s="131"/>
      <c r="K4" s="100" t="s">
        <v>15</v>
      </c>
      <c r="L4" s="100"/>
      <c r="M4" s="100"/>
    </row>
    <row r="5" spans="1:13" ht="15" customHeight="1" x14ac:dyDescent="0.2">
      <c r="A5" s="13"/>
      <c r="B5" s="13"/>
      <c r="C5" s="13"/>
      <c r="D5" s="23"/>
      <c r="E5" s="13"/>
      <c r="F5" s="13"/>
      <c r="G5" s="14"/>
      <c r="H5" s="14"/>
      <c r="I5" s="14"/>
      <c r="J5" s="14"/>
      <c r="K5" s="15"/>
      <c r="L5" s="15"/>
      <c r="M5" s="16"/>
    </row>
    <row r="6" spans="1:13" ht="33" customHeight="1" x14ac:dyDescent="0.2">
      <c r="A6" s="34" t="s">
        <v>9</v>
      </c>
      <c r="B6" s="90">
        <f>+'Ppto General'!B6:K6</f>
        <v>0</v>
      </c>
      <c r="C6" s="90"/>
      <c r="D6" s="90"/>
      <c r="E6" s="90"/>
      <c r="F6" s="90"/>
      <c r="G6" s="90"/>
      <c r="H6" s="90"/>
      <c r="I6" s="90"/>
      <c r="J6" s="90"/>
      <c r="K6" s="90"/>
      <c r="L6" s="20" t="s">
        <v>23</v>
      </c>
      <c r="M6" s="20" t="s">
        <v>26</v>
      </c>
    </row>
    <row r="7" spans="1:13" ht="35.25" customHeight="1" x14ac:dyDescent="0.2">
      <c r="A7" s="34" t="s">
        <v>10</v>
      </c>
      <c r="B7" s="90">
        <f>+'Ppto General'!B7:K7</f>
        <v>0</v>
      </c>
      <c r="C7" s="90"/>
      <c r="D7" s="90"/>
      <c r="E7" s="90"/>
      <c r="F7" s="90"/>
      <c r="G7" s="90"/>
      <c r="H7" s="90"/>
      <c r="I7" s="90"/>
      <c r="J7" s="90"/>
      <c r="K7" s="90"/>
      <c r="L7" s="115">
        <f>+'Ppto General'!L7:L8</f>
        <v>0</v>
      </c>
      <c r="M7" s="117">
        <f>+'Ppto General'!M7:M8</f>
        <v>0</v>
      </c>
    </row>
    <row r="8" spans="1:13" ht="30" customHeight="1" x14ac:dyDescent="0.2">
      <c r="A8" s="34" t="s">
        <v>11</v>
      </c>
      <c r="B8" s="91">
        <f>+'Ppto General'!B8:C8</f>
        <v>0</v>
      </c>
      <c r="C8" s="93"/>
      <c r="D8" s="34" t="s">
        <v>12</v>
      </c>
      <c r="E8" s="119"/>
      <c r="F8" s="119"/>
      <c r="G8" s="44" t="s">
        <v>13</v>
      </c>
      <c r="H8" s="120"/>
      <c r="I8" s="121"/>
      <c r="J8" s="121"/>
      <c r="K8" s="122"/>
      <c r="L8" s="116"/>
      <c r="M8" s="118"/>
    </row>
    <row r="9" spans="1:13" ht="15.75" customHeight="1" x14ac:dyDescent="0.2">
      <c r="A9" s="37"/>
      <c r="B9" s="37"/>
      <c r="C9" s="37"/>
      <c r="D9" s="38"/>
      <c r="E9" s="37"/>
      <c r="F9" s="37"/>
      <c r="G9" s="39"/>
      <c r="H9" s="39"/>
      <c r="I9" s="39"/>
      <c r="J9" s="39"/>
      <c r="K9" s="37"/>
      <c r="L9" s="13"/>
      <c r="M9" s="13"/>
    </row>
    <row r="10" spans="1:13" s="1" customFormat="1" ht="21" customHeight="1" x14ac:dyDescent="0.2">
      <c r="A10" s="107" t="s">
        <v>29</v>
      </c>
      <c r="B10" s="109" t="s">
        <v>21</v>
      </c>
      <c r="C10" s="107" t="s">
        <v>27</v>
      </c>
      <c r="D10" s="35" t="s">
        <v>28</v>
      </c>
      <c r="E10" s="35" t="s">
        <v>31</v>
      </c>
      <c r="F10" s="35" t="s">
        <v>32</v>
      </c>
      <c r="G10" s="35" t="s">
        <v>33</v>
      </c>
      <c r="H10" s="35" t="s">
        <v>34</v>
      </c>
      <c r="I10" s="35" t="s">
        <v>35</v>
      </c>
      <c r="J10" s="35" t="s">
        <v>36</v>
      </c>
      <c r="K10" s="35" t="s">
        <v>38</v>
      </c>
      <c r="L10" s="113" t="s">
        <v>16</v>
      </c>
      <c r="M10" s="113" t="s">
        <v>37</v>
      </c>
    </row>
    <row r="11" spans="1:13" s="1" customFormat="1" ht="14.25" x14ac:dyDescent="0.2">
      <c r="A11" s="108"/>
      <c r="B11" s="110"/>
      <c r="C11" s="108"/>
      <c r="D11" s="35" t="s">
        <v>30</v>
      </c>
      <c r="E11" s="35" t="s">
        <v>30</v>
      </c>
      <c r="F11" s="35" t="s">
        <v>30</v>
      </c>
      <c r="G11" s="35" t="s">
        <v>30</v>
      </c>
      <c r="H11" s="35" t="s">
        <v>30</v>
      </c>
      <c r="I11" s="35" t="s">
        <v>30</v>
      </c>
      <c r="J11" s="35" t="s">
        <v>30</v>
      </c>
      <c r="K11" s="35" t="s">
        <v>30</v>
      </c>
      <c r="L11" s="114"/>
      <c r="M11" s="114"/>
    </row>
    <row r="12" spans="1:13" ht="33.75" customHeight="1" x14ac:dyDescent="0.2">
      <c r="A12" s="7"/>
      <c r="B12" s="25"/>
      <c r="C12" s="8"/>
      <c r="D12" s="6"/>
      <c r="E12" s="6"/>
      <c r="F12" s="6"/>
      <c r="G12" s="17"/>
      <c r="H12" s="17"/>
      <c r="I12" s="17"/>
      <c r="J12" s="17"/>
      <c r="K12" s="17"/>
      <c r="L12" s="17"/>
      <c r="M12" s="17">
        <f>+L12+K12</f>
        <v>0</v>
      </c>
    </row>
    <row r="13" spans="1:13" ht="33.75" customHeight="1" x14ac:dyDescent="0.2">
      <c r="A13" s="7"/>
      <c r="B13" s="25"/>
      <c r="C13" s="8"/>
      <c r="D13" s="6"/>
      <c r="E13" s="6"/>
      <c r="F13" s="6"/>
      <c r="G13" s="17"/>
      <c r="H13" s="17"/>
      <c r="I13" s="17"/>
      <c r="J13" s="17"/>
      <c r="K13" s="17"/>
      <c r="L13" s="17"/>
      <c r="M13" s="17">
        <f t="shared" ref="M13:M25" si="0">+L13+K13</f>
        <v>0</v>
      </c>
    </row>
    <row r="14" spans="1:13" ht="33.75" customHeight="1" x14ac:dyDescent="0.2">
      <c r="A14" s="18"/>
      <c r="B14" s="26"/>
      <c r="C14" s="8"/>
      <c r="D14" s="6"/>
      <c r="E14" s="6"/>
      <c r="F14" s="6"/>
      <c r="G14" s="17"/>
      <c r="H14" s="17"/>
      <c r="I14" s="17"/>
      <c r="J14" s="17"/>
      <c r="K14" s="17"/>
      <c r="L14" s="17"/>
      <c r="M14" s="17">
        <f t="shared" si="0"/>
        <v>0</v>
      </c>
    </row>
    <row r="15" spans="1:13" ht="33.75" customHeight="1" x14ac:dyDescent="0.2">
      <c r="A15" s="7"/>
      <c r="B15" s="25"/>
      <c r="C15" s="8"/>
      <c r="D15" s="6"/>
      <c r="E15" s="6"/>
      <c r="F15" s="6"/>
      <c r="G15" s="17"/>
      <c r="H15" s="17"/>
      <c r="I15" s="17"/>
      <c r="J15" s="17"/>
      <c r="K15" s="17"/>
      <c r="L15" s="17"/>
      <c r="M15" s="17">
        <f t="shared" si="0"/>
        <v>0</v>
      </c>
    </row>
    <row r="16" spans="1:13" ht="33.75" customHeight="1" x14ac:dyDescent="0.2">
      <c r="A16" s="7"/>
      <c r="B16" s="25"/>
      <c r="C16" s="8"/>
      <c r="D16" s="6"/>
      <c r="E16" s="6"/>
      <c r="F16" s="6"/>
      <c r="G16" s="17"/>
      <c r="H16" s="17"/>
      <c r="I16" s="17"/>
      <c r="J16" s="17"/>
      <c r="K16" s="17"/>
      <c r="L16" s="17"/>
      <c r="M16" s="17">
        <f t="shared" si="0"/>
        <v>0</v>
      </c>
    </row>
    <row r="17" spans="1:13" ht="33.75" customHeight="1" x14ac:dyDescent="0.2">
      <c r="A17" s="7"/>
      <c r="B17" s="25"/>
      <c r="C17" s="8"/>
      <c r="D17" s="6"/>
      <c r="E17" s="6"/>
      <c r="F17" s="6"/>
      <c r="G17" s="17"/>
      <c r="H17" s="17"/>
      <c r="I17" s="17"/>
      <c r="J17" s="17"/>
      <c r="K17" s="17"/>
      <c r="L17" s="17"/>
      <c r="M17" s="17">
        <f t="shared" si="0"/>
        <v>0</v>
      </c>
    </row>
    <row r="18" spans="1:13" ht="33.75" customHeight="1" x14ac:dyDescent="0.2">
      <c r="A18" s="7"/>
      <c r="B18" s="25"/>
      <c r="C18" s="8"/>
      <c r="D18" s="6"/>
      <c r="E18" s="6"/>
      <c r="F18" s="6"/>
      <c r="G18" s="17"/>
      <c r="H18" s="17"/>
      <c r="I18" s="17"/>
      <c r="J18" s="17"/>
      <c r="K18" s="17"/>
      <c r="L18" s="17"/>
      <c r="M18" s="17">
        <f t="shared" si="0"/>
        <v>0</v>
      </c>
    </row>
    <row r="19" spans="1:13" ht="33.75" customHeight="1" x14ac:dyDescent="0.2">
      <c r="A19" s="7"/>
      <c r="B19" s="25"/>
      <c r="C19" s="8"/>
      <c r="D19" s="6"/>
      <c r="E19" s="6"/>
      <c r="F19" s="6"/>
      <c r="G19" s="17"/>
      <c r="H19" s="17"/>
      <c r="I19" s="17"/>
      <c r="J19" s="17"/>
      <c r="K19" s="17"/>
      <c r="L19" s="17"/>
      <c r="M19" s="17">
        <f t="shared" si="0"/>
        <v>0</v>
      </c>
    </row>
    <row r="20" spans="1:13" ht="33.75" customHeight="1" x14ac:dyDescent="0.2">
      <c r="A20" s="7"/>
      <c r="B20" s="25"/>
      <c r="C20" s="8"/>
      <c r="D20" s="6"/>
      <c r="E20" s="6"/>
      <c r="F20" s="6"/>
      <c r="G20" s="17"/>
      <c r="H20" s="17"/>
      <c r="I20" s="17"/>
      <c r="J20" s="17"/>
      <c r="K20" s="17"/>
      <c r="L20" s="17"/>
      <c r="M20" s="17">
        <f t="shared" si="0"/>
        <v>0</v>
      </c>
    </row>
    <row r="21" spans="1:13" ht="33.75" customHeight="1" x14ac:dyDescent="0.2">
      <c r="A21" s="9"/>
      <c r="B21" s="27"/>
      <c r="C21" s="8"/>
      <c r="D21" s="6"/>
      <c r="E21" s="6"/>
      <c r="F21" s="6"/>
      <c r="G21" s="17"/>
      <c r="H21" s="17"/>
      <c r="I21" s="17"/>
      <c r="J21" s="17"/>
      <c r="K21" s="17"/>
      <c r="L21" s="17"/>
      <c r="M21" s="17">
        <f t="shared" si="0"/>
        <v>0</v>
      </c>
    </row>
    <row r="22" spans="1:13" ht="33.75" customHeight="1" x14ac:dyDescent="0.2">
      <c r="A22" s="7"/>
      <c r="B22" s="25"/>
      <c r="C22" s="8"/>
      <c r="D22" s="6"/>
      <c r="E22" s="6"/>
      <c r="F22" s="6"/>
      <c r="G22" s="17"/>
      <c r="H22" s="17"/>
      <c r="I22" s="17"/>
      <c r="J22" s="17"/>
      <c r="K22" s="17"/>
      <c r="L22" s="17"/>
      <c r="M22" s="17">
        <f t="shared" si="0"/>
        <v>0</v>
      </c>
    </row>
    <row r="23" spans="1:13" ht="33.75" customHeight="1" x14ac:dyDescent="0.2">
      <c r="A23" s="7"/>
      <c r="B23" s="25"/>
      <c r="C23" s="8"/>
      <c r="D23" s="6"/>
      <c r="E23" s="6"/>
      <c r="F23" s="6"/>
      <c r="G23" s="17"/>
      <c r="H23" s="17"/>
      <c r="I23" s="17"/>
      <c r="J23" s="17"/>
      <c r="K23" s="17"/>
      <c r="L23" s="17"/>
      <c r="M23" s="17">
        <f t="shared" si="0"/>
        <v>0</v>
      </c>
    </row>
    <row r="24" spans="1:13" ht="33.75" customHeight="1" x14ac:dyDescent="0.2">
      <c r="A24" s="7"/>
      <c r="B24" s="25"/>
      <c r="C24" s="8"/>
      <c r="D24" s="6"/>
      <c r="E24" s="6"/>
      <c r="F24" s="6"/>
      <c r="G24" s="17"/>
      <c r="H24" s="17"/>
      <c r="I24" s="17"/>
      <c r="J24" s="17"/>
      <c r="K24" s="17"/>
      <c r="L24" s="17"/>
      <c r="M24" s="17">
        <f t="shared" si="0"/>
        <v>0</v>
      </c>
    </row>
    <row r="25" spans="1:13" ht="33.75" customHeight="1" x14ac:dyDescent="0.2">
      <c r="A25" s="7"/>
      <c r="B25" s="25"/>
      <c r="C25" s="8"/>
      <c r="D25" s="6"/>
      <c r="E25" s="6"/>
      <c r="F25" s="6"/>
      <c r="G25" s="17"/>
      <c r="H25" s="17"/>
      <c r="I25" s="17"/>
      <c r="J25" s="17"/>
      <c r="K25" s="17"/>
      <c r="L25" s="17"/>
      <c r="M25" s="17">
        <f t="shared" si="0"/>
        <v>0</v>
      </c>
    </row>
    <row r="26" spans="1:13" x14ac:dyDescent="0.2">
      <c r="A26" s="111" t="s">
        <v>4</v>
      </c>
      <c r="B26" s="112"/>
      <c r="C26" s="21">
        <f>SUM(C12:C25)</f>
        <v>0</v>
      </c>
      <c r="D26" s="21">
        <f t="shared" ref="D26" si="1">SUM(D12:D25)</f>
        <v>0</v>
      </c>
      <c r="E26" s="21">
        <f t="shared" ref="E26" si="2">SUM(E12:E25)</f>
        <v>0</v>
      </c>
      <c r="F26" s="21">
        <f t="shared" ref="F26" si="3">SUM(F12:F25)</f>
        <v>0</v>
      </c>
      <c r="G26" s="21">
        <f t="shared" ref="G26" si="4">SUM(G12:G25)</f>
        <v>0</v>
      </c>
      <c r="H26" s="21">
        <f t="shared" ref="H26" si="5">SUM(H12:H25)</f>
        <v>0</v>
      </c>
      <c r="I26" s="21">
        <f t="shared" ref="I26:K26" si="6">SUM(I12:I25)</f>
        <v>0</v>
      </c>
      <c r="J26" s="21">
        <f t="shared" si="6"/>
        <v>0</v>
      </c>
      <c r="K26" s="21">
        <f t="shared" si="6"/>
        <v>0</v>
      </c>
      <c r="L26" s="21">
        <f>SUM(L12:L25)</f>
        <v>0</v>
      </c>
      <c r="M26" s="21">
        <f>SUM(M12:M25)</f>
        <v>0</v>
      </c>
    </row>
    <row r="27" spans="1:13" ht="15.75" customHeight="1" x14ac:dyDescent="0.2">
      <c r="A27" s="13"/>
      <c r="B27" s="13"/>
      <c r="C27" s="13"/>
      <c r="D27" s="23"/>
      <c r="E27" s="13"/>
      <c r="F27" s="13"/>
      <c r="G27" s="13"/>
      <c r="H27" s="13"/>
      <c r="I27" s="14"/>
      <c r="J27" s="14"/>
      <c r="K27" s="15"/>
      <c r="L27" s="15"/>
      <c r="M27" s="16"/>
    </row>
    <row r="28" spans="1:13" s="13" customFormat="1" ht="15.75" customHeight="1" x14ac:dyDescent="0.2">
      <c r="A28" s="88" t="s">
        <v>41</v>
      </c>
      <c r="B28" s="88"/>
      <c r="C28" s="88"/>
      <c r="D28" s="88"/>
      <c r="E28" s="88"/>
      <c r="F28" s="88" t="s">
        <v>42</v>
      </c>
      <c r="G28" s="88"/>
      <c r="H28" s="88"/>
      <c r="I28" s="88"/>
      <c r="J28" s="88"/>
      <c r="K28" s="73" t="s">
        <v>43</v>
      </c>
      <c r="L28" s="74"/>
      <c r="M28" s="75"/>
    </row>
    <row r="29" spans="1:13" s="13" customFormat="1" ht="35.25" customHeight="1" x14ac:dyDescent="0.2">
      <c r="A29" s="86" t="s">
        <v>59</v>
      </c>
      <c r="B29" s="86"/>
      <c r="C29" s="86"/>
      <c r="D29" s="86"/>
      <c r="E29" s="86"/>
      <c r="F29" s="56" t="s">
        <v>60</v>
      </c>
      <c r="G29" s="57"/>
      <c r="H29" s="57"/>
      <c r="I29" s="57"/>
      <c r="J29" s="58"/>
      <c r="K29" s="76" t="s">
        <v>67</v>
      </c>
      <c r="L29" s="77"/>
      <c r="M29" s="78"/>
    </row>
    <row r="30" spans="1:13" s="13" customFormat="1" ht="48" customHeight="1" x14ac:dyDescent="0.2">
      <c r="A30" s="87" t="s">
        <v>61</v>
      </c>
      <c r="B30" s="87"/>
      <c r="C30" s="87"/>
      <c r="D30" s="87"/>
      <c r="E30" s="87"/>
      <c r="F30" s="56" t="s">
        <v>62</v>
      </c>
      <c r="G30" s="57"/>
      <c r="H30" s="57"/>
      <c r="I30" s="57"/>
      <c r="J30" s="58"/>
      <c r="K30" s="79"/>
      <c r="L30" s="80"/>
      <c r="M30" s="81"/>
    </row>
    <row r="31" spans="1:13" s="13" customFormat="1" ht="112.5" customHeight="1" x14ac:dyDescent="0.2">
      <c r="A31" s="132" t="s">
        <v>44</v>
      </c>
      <c r="B31" s="132"/>
      <c r="C31" s="132"/>
      <c r="D31" s="132"/>
      <c r="E31" s="132"/>
      <c r="F31" s="132" t="s">
        <v>44</v>
      </c>
      <c r="G31" s="132"/>
      <c r="H31" s="132"/>
      <c r="I31" s="132"/>
      <c r="J31" s="132"/>
      <c r="K31" s="82"/>
      <c r="L31" s="83"/>
      <c r="M31" s="84"/>
    </row>
    <row r="32" spans="1:13" s="13" customFormat="1" ht="15.75" customHeight="1" x14ac:dyDescent="0.2">
      <c r="A32" s="132" t="s">
        <v>65</v>
      </c>
      <c r="B32" s="132"/>
      <c r="C32" s="132"/>
      <c r="D32" s="132"/>
      <c r="E32" s="132"/>
      <c r="F32" s="132" t="s">
        <v>65</v>
      </c>
      <c r="G32" s="132"/>
      <c r="H32" s="132"/>
      <c r="I32" s="132"/>
      <c r="J32" s="132"/>
      <c r="K32" s="85" t="s">
        <v>66</v>
      </c>
      <c r="L32" s="85"/>
      <c r="M32" s="85"/>
    </row>
    <row r="33" spans="1:13" s="13" customFormat="1" ht="15.75" customHeight="1" x14ac:dyDescent="0.2">
      <c r="A33" s="2"/>
      <c r="B33" s="2"/>
      <c r="C33" s="2"/>
      <c r="D33" s="24"/>
      <c r="E33" s="2"/>
      <c r="F33" s="2"/>
      <c r="G33" s="5"/>
      <c r="H33" s="5"/>
      <c r="I33" s="5"/>
      <c r="J33" s="5"/>
      <c r="K33" s="4"/>
      <c r="L33" s="4"/>
      <c r="M33" s="3"/>
    </row>
    <row r="34" spans="1:13" s="13" customFormat="1" ht="15.75" customHeight="1" x14ac:dyDescent="0.2">
      <c r="A34" s="2"/>
      <c r="B34" s="2"/>
      <c r="C34" s="2"/>
      <c r="D34" s="24"/>
      <c r="E34" s="2"/>
      <c r="F34" s="2"/>
      <c r="G34" s="5"/>
      <c r="H34" s="5"/>
      <c r="I34" s="5"/>
      <c r="J34" s="5"/>
      <c r="K34" s="4"/>
      <c r="L34" s="4"/>
      <c r="M34" s="3"/>
    </row>
    <row r="35" spans="1:13" s="13" customFormat="1" ht="15.75" customHeight="1" x14ac:dyDescent="0.2">
      <c r="A35" s="2"/>
      <c r="B35" s="2"/>
      <c r="C35" s="2"/>
      <c r="D35" s="24"/>
      <c r="E35" s="2"/>
      <c r="F35" s="2"/>
      <c r="G35" s="5"/>
      <c r="H35" s="5"/>
      <c r="I35" s="5"/>
      <c r="J35" s="5"/>
      <c r="K35" s="4"/>
      <c r="L35" s="4"/>
      <c r="M35" s="3"/>
    </row>
    <row r="36" spans="1:13" s="13" customFormat="1" ht="15.75" customHeight="1" x14ac:dyDescent="0.2">
      <c r="A36" s="2"/>
      <c r="B36" s="2"/>
      <c r="C36" s="2"/>
      <c r="D36" s="24"/>
      <c r="E36" s="2"/>
      <c r="F36" s="2"/>
      <c r="G36" s="5"/>
      <c r="H36" s="5"/>
      <c r="I36" s="5"/>
      <c r="J36" s="5"/>
      <c r="K36" s="4"/>
      <c r="L36" s="4"/>
      <c r="M36" s="3"/>
    </row>
    <row r="37" spans="1:13" s="13" customFormat="1" ht="15.75" customHeight="1" x14ac:dyDescent="0.2">
      <c r="A37" s="2"/>
      <c r="B37" s="2"/>
      <c r="C37" s="2"/>
      <c r="D37" s="24"/>
      <c r="E37" s="2"/>
      <c r="F37" s="2"/>
      <c r="G37" s="5"/>
      <c r="H37" s="5"/>
      <c r="I37" s="5"/>
      <c r="J37" s="5"/>
      <c r="K37" s="4"/>
      <c r="L37" s="4"/>
      <c r="M37" s="3"/>
    </row>
    <row r="38" spans="1:13" s="13" customFormat="1" ht="15.75" customHeight="1" x14ac:dyDescent="0.2">
      <c r="A38" s="2"/>
      <c r="B38" s="2"/>
      <c r="C38" s="2"/>
      <c r="D38" s="24"/>
      <c r="E38" s="2"/>
      <c r="F38" s="2"/>
      <c r="G38" s="5"/>
      <c r="H38" s="5"/>
      <c r="I38" s="5"/>
      <c r="J38" s="5"/>
      <c r="K38" s="4"/>
      <c r="L38" s="4"/>
      <c r="M38" s="3"/>
    </row>
    <row r="39" spans="1:13" s="13" customFormat="1" ht="15.75" customHeight="1" x14ac:dyDescent="0.2">
      <c r="A39" s="2"/>
      <c r="B39" s="2"/>
      <c r="C39" s="2"/>
      <c r="D39" s="24"/>
      <c r="E39" s="2"/>
      <c r="F39" s="2"/>
      <c r="G39" s="5"/>
      <c r="H39" s="5"/>
      <c r="I39" s="5"/>
      <c r="J39" s="5"/>
      <c r="K39" s="4"/>
      <c r="L39" s="4"/>
      <c r="M39" s="3"/>
    </row>
    <row r="40" spans="1:13" s="13" customFormat="1" ht="15.75" customHeight="1" x14ac:dyDescent="0.2">
      <c r="A40" s="2"/>
      <c r="B40" s="2"/>
      <c r="C40" s="2"/>
      <c r="D40" s="24"/>
      <c r="E40" s="2"/>
      <c r="F40" s="2"/>
      <c r="G40" s="5"/>
      <c r="H40" s="5"/>
      <c r="I40" s="5"/>
      <c r="J40" s="5"/>
      <c r="K40" s="4"/>
      <c r="L40" s="4"/>
      <c r="M40" s="3"/>
    </row>
    <row r="41" spans="1:13" s="13" customFormat="1" ht="15.75" customHeight="1" x14ac:dyDescent="0.2">
      <c r="A41" s="2"/>
      <c r="B41" s="2"/>
      <c r="C41" s="2"/>
      <c r="D41" s="24"/>
      <c r="E41" s="2"/>
      <c r="F41" s="2"/>
      <c r="G41" s="5"/>
      <c r="H41" s="5"/>
      <c r="I41" s="5"/>
      <c r="J41" s="5"/>
      <c r="K41" s="4"/>
      <c r="L41" s="4"/>
      <c r="M41" s="3"/>
    </row>
    <row r="42" spans="1:13" s="13" customFormat="1" ht="15.75" customHeight="1" x14ac:dyDescent="0.2">
      <c r="A42" s="2"/>
      <c r="B42" s="2"/>
      <c r="C42" s="2"/>
      <c r="D42" s="24"/>
      <c r="E42" s="2"/>
      <c r="F42" s="2"/>
      <c r="G42" s="5"/>
      <c r="H42" s="5"/>
      <c r="I42" s="5"/>
      <c r="J42" s="5"/>
      <c r="K42" s="4"/>
      <c r="L42" s="4"/>
      <c r="M42" s="3"/>
    </row>
    <row r="43" spans="1:13" s="13" customFormat="1" ht="15.75" customHeight="1" x14ac:dyDescent="0.2">
      <c r="A43" s="2"/>
      <c r="B43" s="2"/>
      <c r="C43" s="2"/>
      <c r="D43" s="24"/>
      <c r="E43" s="2"/>
      <c r="F43" s="2"/>
      <c r="G43" s="5"/>
      <c r="H43" s="5"/>
      <c r="I43" s="5"/>
      <c r="J43" s="5"/>
      <c r="K43" s="4"/>
      <c r="L43" s="4"/>
      <c r="M43" s="3"/>
    </row>
    <row r="44" spans="1:13" s="13" customFormat="1" ht="15.75" customHeight="1" x14ac:dyDescent="0.2">
      <c r="A44" s="2"/>
      <c r="B44" s="2"/>
      <c r="C44" s="2"/>
      <c r="D44" s="24"/>
      <c r="E44" s="2"/>
      <c r="F44" s="2"/>
      <c r="G44" s="5"/>
      <c r="H44" s="5"/>
      <c r="I44" s="5"/>
      <c r="J44" s="5"/>
      <c r="K44" s="4"/>
      <c r="L44" s="4"/>
      <c r="M44" s="3"/>
    </row>
    <row r="45" spans="1:13" s="13" customFormat="1" ht="15.75" customHeight="1" x14ac:dyDescent="0.2">
      <c r="A45" s="2"/>
      <c r="B45" s="2"/>
      <c r="C45" s="2"/>
      <c r="D45" s="24"/>
      <c r="E45" s="2"/>
      <c r="F45" s="2"/>
      <c r="G45" s="5"/>
      <c r="H45" s="5"/>
      <c r="I45" s="5"/>
      <c r="J45" s="5"/>
      <c r="K45" s="4"/>
      <c r="L45" s="4"/>
      <c r="M45" s="3"/>
    </row>
    <row r="46" spans="1:13" s="13" customFormat="1" ht="15.75" customHeight="1" x14ac:dyDescent="0.2">
      <c r="A46" s="2"/>
      <c r="B46" s="2"/>
      <c r="C46" s="2"/>
      <c r="D46" s="24"/>
      <c r="E46" s="2"/>
      <c r="F46" s="2"/>
      <c r="G46" s="5"/>
      <c r="H46" s="5"/>
      <c r="I46" s="5"/>
      <c r="J46" s="5"/>
      <c r="K46" s="4"/>
      <c r="L46" s="4"/>
      <c r="M46" s="3"/>
    </row>
    <row r="47" spans="1:13" s="13" customFormat="1" ht="15.75" customHeight="1" x14ac:dyDescent="0.2">
      <c r="A47" s="2"/>
      <c r="B47" s="2"/>
      <c r="C47" s="2"/>
      <c r="D47" s="24"/>
      <c r="E47" s="2"/>
      <c r="F47" s="2"/>
      <c r="G47" s="5"/>
      <c r="H47" s="5"/>
      <c r="I47" s="5"/>
      <c r="J47" s="5"/>
      <c r="K47" s="4"/>
      <c r="L47" s="4"/>
      <c r="M47" s="3"/>
    </row>
    <row r="48" spans="1:13" s="13" customFormat="1" ht="15.75" customHeight="1" x14ac:dyDescent="0.2">
      <c r="A48" s="2"/>
      <c r="B48" s="2"/>
      <c r="C48" s="2"/>
      <c r="D48" s="24"/>
      <c r="E48" s="2"/>
      <c r="F48" s="2"/>
      <c r="G48" s="5"/>
      <c r="H48" s="5"/>
      <c r="I48" s="5"/>
      <c r="J48" s="5"/>
      <c r="K48" s="4"/>
      <c r="L48" s="4"/>
      <c r="M48" s="3"/>
    </row>
    <row r="49" spans="1:13" s="13" customFormat="1" ht="15.75" customHeight="1" x14ac:dyDescent="0.2">
      <c r="A49" s="2"/>
      <c r="B49" s="2"/>
      <c r="C49" s="2"/>
      <c r="D49" s="24"/>
      <c r="E49" s="2"/>
      <c r="F49" s="2"/>
      <c r="G49" s="5"/>
      <c r="H49" s="5"/>
      <c r="I49" s="5"/>
      <c r="J49" s="5"/>
      <c r="K49" s="4"/>
      <c r="L49" s="4"/>
      <c r="M49" s="3"/>
    </row>
    <row r="50" spans="1:13" s="13" customFormat="1" ht="15.75" customHeight="1" x14ac:dyDescent="0.2">
      <c r="A50" s="2"/>
      <c r="B50" s="2"/>
      <c r="C50" s="2"/>
      <c r="D50" s="24"/>
      <c r="E50" s="2"/>
      <c r="F50" s="2"/>
      <c r="G50" s="5"/>
      <c r="H50" s="5"/>
      <c r="I50" s="5"/>
      <c r="J50" s="5"/>
      <c r="K50" s="4"/>
      <c r="L50" s="4"/>
      <c r="M50" s="3"/>
    </row>
    <row r="51" spans="1:13" s="13" customFormat="1" ht="15.75" customHeight="1" x14ac:dyDescent="0.2">
      <c r="A51" s="2"/>
      <c r="B51" s="2"/>
      <c r="C51" s="2"/>
      <c r="D51" s="24"/>
      <c r="E51" s="2"/>
      <c r="F51" s="2"/>
      <c r="G51" s="5"/>
      <c r="H51" s="5"/>
      <c r="I51" s="5"/>
      <c r="J51" s="5"/>
      <c r="K51" s="4"/>
      <c r="L51" s="4"/>
      <c r="M51" s="3"/>
    </row>
    <row r="52" spans="1:13" s="13" customFormat="1" ht="15.75" customHeight="1" x14ac:dyDescent="0.2">
      <c r="A52" s="2"/>
      <c r="B52" s="2"/>
      <c r="C52" s="2"/>
      <c r="D52" s="24"/>
      <c r="E52" s="2"/>
      <c r="F52" s="2"/>
      <c r="G52" s="5"/>
      <c r="H52" s="5"/>
      <c r="I52" s="5"/>
      <c r="J52" s="5"/>
      <c r="K52" s="4"/>
      <c r="L52" s="4"/>
      <c r="M52" s="3"/>
    </row>
    <row r="53" spans="1:13" s="13" customFormat="1" ht="15.75" customHeight="1" x14ac:dyDescent="0.2">
      <c r="A53" s="2"/>
      <c r="B53" s="2"/>
      <c r="C53" s="2"/>
      <c r="D53" s="24"/>
      <c r="E53" s="2"/>
      <c r="F53" s="2"/>
      <c r="G53" s="5"/>
      <c r="H53" s="5"/>
      <c r="I53" s="5"/>
      <c r="J53" s="5"/>
      <c r="K53" s="4"/>
      <c r="L53" s="4"/>
      <c r="M53" s="3"/>
    </row>
    <row r="54" spans="1:13" s="13" customFormat="1" ht="15.75" customHeight="1" x14ac:dyDescent="0.2">
      <c r="A54" s="2"/>
      <c r="B54" s="2"/>
      <c r="C54" s="2"/>
      <c r="D54" s="24"/>
      <c r="E54" s="2"/>
      <c r="F54" s="2"/>
      <c r="G54" s="5"/>
      <c r="H54" s="5"/>
      <c r="I54" s="5"/>
      <c r="J54" s="5"/>
      <c r="K54" s="4"/>
      <c r="L54" s="4"/>
      <c r="M54" s="3"/>
    </row>
    <row r="55" spans="1:13" s="13" customFormat="1" ht="15.75" customHeight="1" x14ac:dyDescent="0.2">
      <c r="A55" s="2"/>
      <c r="B55" s="2"/>
      <c r="C55" s="2"/>
      <c r="D55" s="24"/>
      <c r="E55" s="2"/>
      <c r="F55" s="2"/>
      <c r="G55" s="5"/>
      <c r="H55" s="5"/>
      <c r="I55" s="5"/>
      <c r="J55" s="5"/>
      <c r="K55" s="4"/>
      <c r="L55" s="4"/>
      <c r="M55" s="3"/>
    </row>
    <row r="56" spans="1:13" s="13" customFormat="1" ht="15.75" customHeight="1" x14ac:dyDescent="0.2">
      <c r="A56" s="2"/>
      <c r="B56" s="2"/>
      <c r="C56" s="2"/>
      <c r="D56" s="24"/>
      <c r="E56" s="2"/>
      <c r="F56" s="2"/>
      <c r="G56" s="5"/>
      <c r="H56" s="5"/>
      <c r="I56" s="5"/>
      <c r="J56" s="5"/>
      <c r="K56" s="4"/>
      <c r="L56" s="4"/>
      <c r="M56" s="3"/>
    </row>
    <row r="57" spans="1:13" s="13" customFormat="1" ht="15.75" customHeight="1" x14ac:dyDescent="0.2">
      <c r="A57" s="2"/>
      <c r="B57" s="2"/>
      <c r="C57" s="2"/>
      <c r="D57" s="24"/>
      <c r="E57" s="2"/>
      <c r="F57" s="2"/>
      <c r="G57" s="5"/>
      <c r="H57" s="5"/>
      <c r="I57" s="5"/>
      <c r="J57" s="5"/>
      <c r="K57" s="4"/>
      <c r="L57" s="4"/>
      <c r="M57" s="3"/>
    </row>
    <row r="58" spans="1:13" s="13" customFormat="1" ht="15.75" customHeight="1" x14ac:dyDescent="0.2">
      <c r="A58" s="2"/>
      <c r="B58" s="2"/>
      <c r="C58" s="2"/>
      <c r="D58" s="24"/>
      <c r="E58" s="2"/>
      <c r="F58" s="2"/>
      <c r="G58" s="5"/>
      <c r="H58" s="5"/>
      <c r="I58" s="5"/>
      <c r="J58" s="5"/>
      <c r="K58" s="4"/>
      <c r="L58" s="4"/>
      <c r="M58" s="3"/>
    </row>
    <row r="59" spans="1:13" s="13" customFormat="1" ht="15.75" customHeight="1" x14ac:dyDescent="0.2">
      <c r="A59" s="2"/>
      <c r="B59" s="2"/>
      <c r="C59" s="2"/>
      <c r="D59" s="24"/>
      <c r="E59" s="2"/>
      <c r="F59" s="2"/>
      <c r="G59" s="5"/>
      <c r="H59" s="5"/>
      <c r="I59" s="5"/>
      <c r="J59" s="5"/>
      <c r="K59" s="4"/>
      <c r="L59" s="4"/>
      <c r="M59" s="3"/>
    </row>
    <row r="60" spans="1:13" s="13" customFormat="1" ht="15.75" customHeight="1" x14ac:dyDescent="0.2">
      <c r="A60" s="2"/>
      <c r="B60" s="2"/>
      <c r="C60" s="2"/>
      <c r="D60" s="24"/>
      <c r="E60" s="2"/>
      <c r="F60" s="2"/>
      <c r="G60" s="5"/>
      <c r="H60" s="5"/>
      <c r="I60" s="5"/>
      <c r="J60" s="5"/>
      <c r="K60" s="4"/>
      <c r="L60" s="4"/>
      <c r="M60" s="3"/>
    </row>
    <row r="61" spans="1:13" s="13" customFormat="1" ht="15.75" customHeight="1" x14ac:dyDescent="0.2">
      <c r="A61" s="2"/>
      <c r="B61" s="2"/>
      <c r="C61" s="2"/>
      <c r="D61" s="24"/>
      <c r="E61" s="2"/>
      <c r="F61" s="2"/>
      <c r="G61" s="5"/>
      <c r="H61" s="5"/>
      <c r="I61" s="5"/>
      <c r="J61" s="5"/>
      <c r="K61" s="4"/>
      <c r="L61" s="4"/>
      <c r="M61" s="3"/>
    </row>
    <row r="62" spans="1:13" s="13" customFormat="1" ht="15.75" customHeight="1" x14ac:dyDescent="0.2">
      <c r="A62" s="2"/>
      <c r="B62" s="2"/>
      <c r="C62" s="2"/>
      <c r="D62" s="24"/>
      <c r="E62" s="2"/>
      <c r="F62" s="2"/>
      <c r="G62" s="5"/>
      <c r="H62" s="5"/>
      <c r="I62" s="5"/>
      <c r="J62" s="5"/>
      <c r="K62" s="4"/>
      <c r="L62" s="4"/>
      <c r="M62" s="3"/>
    </row>
    <row r="63" spans="1:13" s="13" customFormat="1" ht="15.75" customHeight="1" x14ac:dyDescent="0.2">
      <c r="A63" s="2"/>
      <c r="B63" s="2"/>
      <c r="C63" s="2"/>
      <c r="D63" s="24"/>
      <c r="E63" s="2"/>
      <c r="F63" s="2"/>
      <c r="G63" s="5"/>
      <c r="H63" s="5"/>
      <c r="I63" s="5"/>
      <c r="J63" s="5"/>
      <c r="K63" s="4"/>
      <c r="L63" s="4"/>
      <c r="M63" s="3"/>
    </row>
    <row r="64" spans="1:13" s="13" customFormat="1" ht="15.75" customHeight="1" x14ac:dyDescent="0.2">
      <c r="A64" s="2"/>
      <c r="B64" s="2"/>
      <c r="C64" s="2"/>
      <c r="D64" s="24"/>
      <c r="E64" s="2"/>
      <c r="F64" s="2"/>
      <c r="G64" s="5"/>
      <c r="H64" s="5"/>
      <c r="I64" s="5"/>
      <c r="J64" s="5"/>
      <c r="K64" s="4"/>
      <c r="L64" s="4"/>
      <c r="M64" s="3"/>
    </row>
    <row r="65" spans="1:13" s="13" customFormat="1" ht="15.75" customHeight="1" x14ac:dyDescent="0.2">
      <c r="A65" s="2"/>
      <c r="B65" s="2"/>
      <c r="C65" s="2"/>
      <c r="D65" s="24"/>
      <c r="E65" s="2"/>
      <c r="F65" s="2"/>
      <c r="G65" s="5"/>
      <c r="H65" s="5"/>
      <c r="I65" s="5"/>
      <c r="J65" s="5"/>
      <c r="K65" s="4"/>
      <c r="L65" s="4"/>
      <c r="M65" s="3"/>
    </row>
    <row r="66" spans="1:13" s="13" customFormat="1" ht="15.75" customHeight="1" x14ac:dyDescent="0.2">
      <c r="A66" s="2"/>
      <c r="B66" s="2"/>
      <c r="C66" s="2"/>
      <c r="D66" s="24"/>
      <c r="E66" s="2"/>
      <c r="F66" s="2"/>
      <c r="G66" s="5"/>
      <c r="H66" s="5"/>
      <c r="I66" s="5"/>
      <c r="J66" s="5"/>
      <c r="K66" s="4"/>
      <c r="L66" s="4"/>
      <c r="M66" s="3"/>
    </row>
    <row r="67" spans="1:13" s="13" customFormat="1" ht="15.75" customHeight="1" x14ac:dyDescent="0.2">
      <c r="A67" s="2"/>
      <c r="B67" s="2"/>
      <c r="C67" s="2"/>
      <c r="D67" s="24"/>
      <c r="E67" s="2"/>
      <c r="F67" s="2"/>
      <c r="G67" s="5"/>
      <c r="H67" s="5"/>
      <c r="I67" s="5"/>
      <c r="J67" s="5"/>
      <c r="K67" s="4"/>
      <c r="L67" s="4"/>
      <c r="M67" s="3"/>
    </row>
    <row r="68" spans="1:13" s="13" customFormat="1" ht="15.75" customHeight="1" x14ac:dyDescent="0.2">
      <c r="A68" s="2"/>
      <c r="B68" s="2"/>
      <c r="C68" s="2"/>
      <c r="D68" s="24"/>
      <c r="E68" s="2"/>
      <c r="F68" s="2"/>
      <c r="G68" s="5"/>
      <c r="H68" s="5"/>
      <c r="I68" s="5"/>
      <c r="J68" s="5"/>
      <c r="K68" s="4"/>
      <c r="L68" s="4"/>
      <c r="M68" s="3"/>
    </row>
    <row r="69" spans="1:13" s="13" customFormat="1" ht="15.75" customHeight="1" x14ac:dyDescent="0.2">
      <c r="A69" s="2"/>
      <c r="B69" s="2"/>
      <c r="C69" s="2"/>
      <c r="D69" s="24"/>
      <c r="E69" s="2"/>
      <c r="F69" s="2"/>
      <c r="G69" s="5"/>
      <c r="H69" s="5"/>
      <c r="I69" s="5"/>
      <c r="J69" s="5"/>
      <c r="K69" s="4"/>
      <c r="L69" s="4"/>
      <c r="M69" s="3"/>
    </row>
    <row r="70" spans="1:13" s="13" customFormat="1" ht="15.75" customHeight="1" x14ac:dyDescent="0.2">
      <c r="A70" s="2"/>
      <c r="B70" s="2"/>
      <c r="C70" s="2"/>
      <c r="D70" s="24"/>
      <c r="E70" s="2"/>
      <c r="F70" s="2"/>
      <c r="G70" s="5"/>
      <c r="H70" s="5"/>
      <c r="I70" s="5"/>
      <c r="J70" s="5"/>
      <c r="K70" s="4"/>
      <c r="L70" s="4"/>
      <c r="M70" s="3"/>
    </row>
    <row r="71" spans="1:13" s="13" customFormat="1" ht="15.75" customHeight="1" x14ac:dyDescent="0.2">
      <c r="A71" s="2"/>
      <c r="B71" s="2"/>
      <c r="C71" s="2"/>
      <c r="D71" s="24"/>
      <c r="E71" s="2"/>
      <c r="F71" s="2"/>
      <c r="G71" s="5"/>
      <c r="H71" s="5"/>
      <c r="I71" s="5"/>
      <c r="J71" s="5"/>
      <c r="K71" s="4"/>
      <c r="L71" s="4"/>
      <c r="M71" s="3"/>
    </row>
    <row r="72" spans="1:13" s="13" customFormat="1" ht="15.75" customHeight="1" x14ac:dyDescent="0.2">
      <c r="A72" s="2"/>
      <c r="B72" s="2"/>
      <c r="C72" s="2"/>
      <c r="D72" s="24"/>
      <c r="E72" s="2"/>
      <c r="F72" s="2"/>
      <c r="G72" s="5"/>
      <c r="H72" s="5"/>
      <c r="I72" s="5"/>
      <c r="J72" s="5"/>
      <c r="K72" s="4"/>
      <c r="L72" s="4"/>
      <c r="M72" s="3"/>
    </row>
    <row r="73" spans="1:13" s="13" customFormat="1" ht="15.75" customHeight="1" x14ac:dyDescent="0.2">
      <c r="A73" s="2"/>
      <c r="B73" s="2"/>
      <c r="C73" s="2"/>
      <c r="D73" s="24"/>
      <c r="E73" s="2"/>
      <c r="F73" s="2"/>
      <c r="G73" s="5"/>
      <c r="H73" s="5"/>
      <c r="I73" s="5"/>
      <c r="J73" s="5"/>
      <c r="K73" s="4"/>
      <c r="L73" s="4"/>
      <c r="M73" s="3"/>
    </row>
    <row r="74" spans="1:13" s="13" customFormat="1" ht="15.75" customHeight="1" x14ac:dyDescent="0.2">
      <c r="A74" s="2"/>
      <c r="B74" s="2"/>
      <c r="C74" s="2"/>
      <c r="D74" s="24"/>
      <c r="E74" s="2"/>
      <c r="F74" s="2"/>
      <c r="G74" s="5"/>
      <c r="H74" s="5"/>
      <c r="I74" s="5"/>
      <c r="J74" s="5"/>
      <c r="K74" s="4"/>
      <c r="L74" s="4"/>
      <c r="M74" s="3"/>
    </row>
    <row r="75" spans="1:13" s="13" customFormat="1" ht="15.75" customHeight="1" x14ac:dyDescent="0.2">
      <c r="A75" s="2"/>
      <c r="B75" s="2"/>
      <c r="C75" s="2"/>
      <c r="D75" s="24"/>
      <c r="E75" s="2"/>
      <c r="F75" s="2"/>
      <c r="G75" s="5"/>
      <c r="H75" s="5"/>
      <c r="I75" s="5"/>
      <c r="J75" s="5"/>
      <c r="K75" s="4"/>
      <c r="L75" s="4"/>
      <c r="M75" s="3"/>
    </row>
    <row r="76" spans="1:13" s="13" customFormat="1" ht="15.75" customHeight="1" x14ac:dyDescent="0.2">
      <c r="A76" s="2"/>
      <c r="B76" s="2"/>
      <c r="C76" s="2"/>
      <c r="D76" s="24"/>
      <c r="E76" s="2"/>
      <c r="F76" s="2"/>
      <c r="G76" s="5"/>
      <c r="H76" s="5"/>
      <c r="I76" s="5"/>
      <c r="J76" s="5"/>
      <c r="K76" s="4"/>
      <c r="L76" s="4"/>
      <c r="M76" s="3"/>
    </row>
    <row r="77" spans="1:13" s="13" customFormat="1" ht="15.75" customHeight="1" x14ac:dyDescent="0.2">
      <c r="A77" s="2"/>
      <c r="B77" s="2"/>
      <c r="C77" s="2"/>
      <c r="D77" s="24"/>
      <c r="E77" s="2"/>
      <c r="F77" s="2"/>
      <c r="G77" s="5"/>
      <c r="H77" s="5"/>
      <c r="I77" s="5"/>
      <c r="J77" s="5"/>
      <c r="K77" s="4"/>
      <c r="L77" s="4"/>
      <c r="M77" s="3"/>
    </row>
    <row r="78" spans="1:13" s="13" customFormat="1" ht="15.75" customHeight="1" x14ac:dyDescent="0.2">
      <c r="A78" s="2"/>
      <c r="B78" s="2"/>
      <c r="C78" s="2"/>
      <c r="D78" s="24"/>
      <c r="E78" s="2"/>
      <c r="F78" s="2"/>
      <c r="G78" s="5"/>
      <c r="H78" s="5"/>
      <c r="I78" s="5"/>
      <c r="J78" s="5"/>
      <c r="K78" s="4"/>
      <c r="L78" s="4"/>
      <c r="M78" s="3"/>
    </row>
    <row r="79" spans="1:13" s="13" customFormat="1" ht="15.75" customHeight="1" x14ac:dyDescent="0.2">
      <c r="A79" s="2"/>
      <c r="B79" s="2"/>
      <c r="C79" s="2"/>
      <c r="D79" s="24"/>
      <c r="E79" s="2"/>
      <c r="F79" s="2"/>
      <c r="G79" s="5"/>
      <c r="H79" s="5"/>
      <c r="I79" s="5"/>
      <c r="J79" s="5"/>
      <c r="K79" s="4"/>
      <c r="L79" s="4"/>
      <c r="M79" s="3"/>
    </row>
    <row r="80" spans="1:13" s="13" customFormat="1" ht="15.75" customHeight="1" x14ac:dyDescent="0.2">
      <c r="A80" s="2"/>
      <c r="B80" s="2"/>
      <c r="C80" s="2"/>
      <c r="D80" s="24"/>
      <c r="E80" s="2"/>
      <c r="F80" s="2"/>
      <c r="G80" s="5"/>
      <c r="H80" s="5"/>
      <c r="I80" s="5"/>
      <c r="J80" s="5"/>
      <c r="K80" s="4"/>
      <c r="L80" s="4"/>
      <c r="M80" s="3"/>
    </row>
    <row r="81" spans="1:13" s="13" customFormat="1" ht="15.75" customHeight="1" x14ac:dyDescent="0.2">
      <c r="A81" s="2"/>
      <c r="B81" s="2"/>
      <c r="C81" s="2"/>
      <c r="D81" s="24"/>
      <c r="E81" s="2"/>
      <c r="F81" s="2"/>
      <c r="G81" s="5"/>
      <c r="H81" s="5"/>
      <c r="I81" s="5"/>
      <c r="J81" s="5"/>
      <c r="K81" s="4"/>
      <c r="L81" s="4"/>
      <c r="M81" s="3"/>
    </row>
    <row r="82" spans="1:13" s="13" customFormat="1" ht="15.75" customHeight="1" x14ac:dyDescent="0.2">
      <c r="A82" s="2"/>
      <c r="B82" s="2"/>
      <c r="C82" s="2"/>
      <c r="D82" s="24"/>
      <c r="E82" s="2"/>
      <c r="F82" s="2"/>
      <c r="G82" s="5"/>
      <c r="H82" s="5"/>
      <c r="I82" s="5"/>
      <c r="J82" s="5"/>
      <c r="K82" s="4"/>
      <c r="L82" s="4"/>
      <c r="M82" s="3"/>
    </row>
    <row r="83" spans="1:13" s="13" customFormat="1" ht="15.75" customHeight="1" x14ac:dyDescent="0.2">
      <c r="A83" s="2"/>
      <c r="B83" s="2"/>
      <c r="C83" s="2"/>
      <c r="D83" s="24"/>
      <c r="E83" s="2"/>
      <c r="F83" s="2"/>
      <c r="G83" s="5"/>
      <c r="H83" s="5"/>
      <c r="I83" s="5"/>
      <c r="J83" s="5"/>
      <c r="K83" s="4"/>
      <c r="L83" s="4"/>
      <c r="M83" s="3"/>
    </row>
    <row r="84" spans="1:13" s="13" customFormat="1" ht="15.75" customHeight="1" x14ac:dyDescent="0.2">
      <c r="A84" s="2"/>
      <c r="B84" s="2"/>
      <c r="C84" s="2"/>
      <c r="D84" s="24"/>
      <c r="E84" s="2"/>
      <c r="F84" s="2"/>
      <c r="G84" s="5"/>
      <c r="H84" s="5"/>
      <c r="I84" s="5"/>
      <c r="J84" s="5"/>
      <c r="K84" s="4"/>
      <c r="L84" s="4"/>
      <c r="M84" s="3"/>
    </row>
    <row r="85" spans="1:13" s="13" customFormat="1" ht="15.75" customHeight="1" x14ac:dyDescent="0.2">
      <c r="A85" s="2"/>
      <c r="B85" s="2"/>
      <c r="C85" s="2"/>
      <c r="D85" s="24"/>
      <c r="E85" s="2"/>
      <c r="F85" s="2"/>
      <c r="G85" s="5"/>
      <c r="H85" s="5"/>
      <c r="I85" s="5"/>
      <c r="J85" s="5"/>
      <c r="K85" s="4"/>
      <c r="L85" s="4"/>
      <c r="M85" s="3"/>
    </row>
    <row r="86" spans="1:13" s="13" customFormat="1" ht="15.75" customHeight="1" x14ac:dyDescent="0.2">
      <c r="A86" s="2"/>
      <c r="B86" s="2"/>
      <c r="C86" s="2"/>
      <c r="D86" s="24"/>
      <c r="E86" s="2"/>
      <c r="F86" s="2"/>
      <c r="G86" s="5"/>
      <c r="H86" s="5"/>
      <c r="I86" s="5"/>
      <c r="J86" s="5"/>
      <c r="K86" s="4"/>
      <c r="L86" s="4"/>
      <c r="M86" s="3"/>
    </row>
    <row r="87" spans="1:13" s="13" customFormat="1" ht="15.75" customHeight="1" x14ac:dyDescent="0.2">
      <c r="A87" s="2"/>
      <c r="B87" s="2"/>
      <c r="C87" s="2"/>
      <c r="D87" s="24"/>
      <c r="E87" s="2"/>
      <c r="F87" s="2"/>
      <c r="G87" s="5"/>
      <c r="H87" s="5"/>
      <c r="I87" s="5"/>
      <c r="J87" s="5"/>
      <c r="K87" s="4"/>
      <c r="L87" s="4"/>
      <c r="M87" s="3"/>
    </row>
    <row r="88" spans="1:13" s="13" customFormat="1" ht="15.75" customHeight="1" x14ac:dyDescent="0.2">
      <c r="A88" s="2"/>
      <c r="B88" s="2"/>
      <c r="C88" s="2"/>
      <c r="D88" s="24"/>
      <c r="E88" s="2"/>
      <c r="F88" s="2"/>
      <c r="G88" s="5"/>
      <c r="H88" s="5"/>
      <c r="I88" s="5"/>
      <c r="J88" s="5"/>
      <c r="K88" s="4"/>
      <c r="L88" s="4"/>
      <c r="M88" s="3"/>
    </row>
    <row r="89" spans="1:13" s="13" customFormat="1" ht="15.75" customHeight="1" x14ac:dyDescent="0.2">
      <c r="A89" s="2"/>
      <c r="B89" s="2"/>
      <c r="C89" s="2"/>
      <c r="D89" s="24"/>
      <c r="E89" s="2"/>
      <c r="F89" s="2"/>
      <c r="G89" s="5"/>
      <c r="H89" s="5"/>
      <c r="I89" s="5"/>
      <c r="J89" s="5"/>
      <c r="K89" s="4"/>
      <c r="L89" s="4"/>
      <c r="M89" s="3"/>
    </row>
    <row r="90" spans="1:13" s="13" customFormat="1" ht="15.75" customHeight="1" x14ac:dyDescent="0.2">
      <c r="A90" s="2"/>
      <c r="B90" s="2"/>
      <c r="C90" s="2"/>
      <c r="D90" s="24"/>
      <c r="E90" s="2"/>
      <c r="F90" s="2"/>
      <c r="G90" s="5"/>
      <c r="H90" s="5"/>
      <c r="I90" s="5"/>
      <c r="J90" s="5"/>
      <c r="K90" s="4"/>
      <c r="L90" s="4"/>
      <c r="M90" s="3"/>
    </row>
    <row r="91" spans="1:13" s="13" customFormat="1" ht="15.75" customHeight="1" x14ac:dyDescent="0.2">
      <c r="A91" s="2"/>
      <c r="B91" s="2"/>
      <c r="C91" s="2"/>
      <c r="D91" s="24"/>
      <c r="E91" s="2"/>
      <c r="F91" s="2"/>
      <c r="G91" s="5"/>
      <c r="H91" s="5"/>
      <c r="I91" s="5"/>
      <c r="J91" s="5"/>
      <c r="K91" s="4"/>
      <c r="L91" s="4"/>
      <c r="M91" s="3"/>
    </row>
    <row r="92" spans="1:13" s="13" customFormat="1" ht="15.75" customHeight="1" x14ac:dyDescent="0.2">
      <c r="A92" s="2"/>
      <c r="B92" s="2"/>
      <c r="C92" s="2"/>
      <c r="D92" s="24"/>
      <c r="E92" s="2"/>
      <c r="F92" s="2"/>
      <c r="G92" s="5"/>
      <c r="H92" s="5"/>
      <c r="I92" s="5"/>
      <c r="J92" s="5"/>
      <c r="K92" s="4"/>
      <c r="L92" s="4"/>
      <c r="M92" s="3"/>
    </row>
    <row r="93" spans="1:13" s="13" customFormat="1" ht="15.75" customHeight="1" x14ac:dyDescent="0.2">
      <c r="A93" s="2"/>
      <c r="B93" s="2"/>
      <c r="C93" s="2"/>
      <c r="D93" s="24"/>
      <c r="E93" s="2"/>
      <c r="F93" s="2"/>
      <c r="G93" s="5"/>
      <c r="H93" s="5"/>
      <c r="I93" s="5"/>
      <c r="J93" s="5"/>
      <c r="K93" s="4"/>
      <c r="L93" s="4"/>
      <c r="M93" s="3"/>
    </row>
    <row r="94" spans="1:13" s="13" customFormat="1" ht="15.75" customHeight="1" x14ac:dyDescent="0.2">
      <c r="A94" s="2"/>
      <c r="B94" s="2"/>
      <c r="C94" s="2"/>
      <c r="D94" s="24"/>
      <c r="E94" s="2"/>
      <c r="F94" s="2"/>
      <c r="G94" s="5"/>
      <c r="H94" s="5"/>
      <c r="I94" s="5"/>
      <c r="J94" s="5"/>
      <c r="K94" s="4"/>
      <c r="L94" s="4"/>
      <c r="M94" s="3"/>
    </row>
    <row r="95" spans="1:13" s="13" customFormat="1" ht="15.75" customHeight="1" x14ac:dyDescent="0.2">
      <c r="A95" s="2"/>
      <c r="B95" s="2"/>
      <c r="C95" s="2"/>
      <c r="D95" s="24"/>
      <c r="E95" s="2"/>
      <c r="F95" s="2"/>
      <c r="G95" s="5"/>
      <c r="H95" s="5"/>
      <c r="I95" s="5"/>
      <c r="J95" s="5"/>
      <c r="K95" s="4"/>
      <c r="L95" s="4"/>
      <c r="M95" s="3"/>
    </row>
    <row r="96" spans="1:13" s="13" customFormat="1" ht="15.75" customHeight="1" x14ac:dyDescent="0.2">
      <c r="A96" s="2"/>
      <c r="B96" s="2"/>
      <c r="C96" s="2"/>
      <c r="D96" s="24"/>
      <c r="E96" s="2"/>
      <c r="F96" s="2"/>
      <c r="G96" s="5"/>
      <c r="H96" s="5"/>
      <c r="I96" s="5"/>
      <c r="J96" s="5"/>
      <c r="K96" s="4"/>
      <c r="L96" s="4"/>
      <c r="M96" s="3"/>
    </row>
    <row r="97" spans="1:13" s="13" customFormat="1" ht="15.75" customHeight="1" x14ac:dyDescent="0.2">
      <c r="A97" s="2"/>
      <c r="B97" s="2"/>
      <c r="C97" s="2"/>
      <c r="D97" s="24"/>
      <c r="E97" s="2"/>
      <c r="F97" s="2"/>
      <c r="G97" s="5"/>
      <c r="H97" s="5"/>
      <c r="I97" s="5"/>
      <c r="J97" s="5"/>
      <c r="K97" s="4"/>
      <c r="L97" s="4"/>
      <c r="M97" s="3"/>
    </row>
    <row r="98" spans="1:13" s="13" customFormat="1" ht="15.75" customHeight="1" x14ac:dyDescent="0.2">
      <c r="A98" s="2"/>
      <c r="B98" s="2"/>
      <c r="C98" s="2"/>
      <c r="D98" s="24"/>
      <c r="E98" s="2"/>
      <c r="F98" s="2"/>
      <c r="G98" s="5"/>
      <c r="H98" s="5"/>
      <c r="I98" s="5"/>
      <c r="J98" s="5"/>
      <c r="K98" s="4"/>
      <c r="L98" s="4"/>
      <c r="M98" s="3"/>
    </row>
    <row r="99" spans="1:13" s="13" customFormat="1" ht="15.75" customHeight="1" x14ac:dyDescent="0.2">
      <c r="A99" s="2"/>
      <c r="B99" s="2"/>
      <c r="C99" s="2"/>
      <c r="D99" s="24"/>
      <c r="E99" s="2"/>
      <c r="F99" s="2"/>
      <c r="G99" s="5"/>
      <c r="H99" s="5"/>
      <c r="I99" s="5"/>
      <c r="J99" s="5"/>
      <c r="K99" s="4"/>
      <c r="L99" s="4"/>
      <c r="M99" s="3"/>
    </row>
    <row r="100" spans="1:13" s="13" customFormat="1" ht="15.75" customHeight="1" x14ac:dyDescent="0.2">
      <c r="A100" s="2"/>
      <c r="B100" s="2"/>
      <c r="C100" s="2"/>
      <c r="D100" s="24"/>
      <c r="E100" s="2"/>
      <c r="F100" s="2"/>
      <c r="G100" s="5"/>
      <c r="H100" s="5"/>
      <c r="I100" s="5"/>
      <c r="J100" s="5"/>
      <c r="K100" s="4"/>
      <c r="L100" s="4"/>
      <c r="M100" s="3"/>
    </row>
    <row r="101" spans="1:13" s="13" customFormat="1" ht="15.75" customHeight="1" x14ac:dyDescent="0.2">
      <c r="A101" s="2"/>
      <c r="B101" s="2"/>
      <c r="C101" s="2"/>
      <c r="D101" s="24"/>
      <c r="E101" s="2"/>
      <c r="F101" s="2"/>
      <c r="G101" s="5"/>
      <c r="H101" s="5"/>
      <c r="I101" s="5"/>
      <c r="J101" s="5"/>
      <c r="K101" s="4"/>
      <c r="L101" s="4"/>
      <c r="M101" s="3"/>
    </row>
    <row r="102" spans="1:13" s="13" customFormat="1" ht="15.75" customHeight="1" x14ac:dyDescent="0.2">
      <c r="A102" s="2"/>
      <c r="B102" s="2"/>
      <c r="C102" s="2"/>
      <c r="D102" s="24"/>
      <c r="E102" s="2"/>
      <c r="F102" s="2"/>
      <c r="G102" s="5"/>
      <c r="H102" s="5"/>
      <c r="I102" s="5"/>
      <c r="J102" s="5"/>
      <c r="K102" s="4"/>
      <c r="L102" s="4"/>
      <c r="M102" s="3"/>
    </row>
    <row r="103" spans="1:13" s="13" customFormat="1" ht="15.75" customHeight="1" x14ac:dyDescent="0.2">
      <c r="A103" s="2"/>
      <c r="B103" s="2"/>
      <c r="C103" s="2"/>
      <c r="D103" s="24"/>
      <c r="E103" s="2"/>
      <c r="F103" s="2"/>
      <c r="G103" s="5"/>
      <c r="H103" s="5"/>
      <c r="I103" s="5"/>
      <c r="J103" s="5"/>
      <c r="K103" s="4"/>
      <c r="L103" s="4"/>
      <c r="M103" s="3"/>
    </row>
    <row r="104" spans="1:13" s="13" customFormat="1" ht="15.75" customHeight="1" x14ac:dyDescent="0.2">
      <c r="A104" s="2"/>
      <c r="B104" s="2"/>
      <c r="C104" s="2"/>
      <c r="D104" s="24"/>
      <c r="E104" s="2"/>
      <c r="F104" s="2"/>
      <c r="G104" s="5"/>
      <c r="H104" s="5"/>
      <c r="I104" s="5"/>
      <c r="J104" s="5"/>
      <c r="K104" s="4"/>
      <c r="L104" s="4"/>
      <c r="M104" s="3"/>
    </row>
    <row r="105" spans="1:13" s="13" customFormat="1" ht="15.75" customHeight="1" x14ac:dyDescent="0.2">
      <c r="A105" s="2"/>
      <c r="B105" s="2"/>
      <c r="C105" s="2"/>
      <c r="D105" s="24"/>
      <c r="E105" s="2"/>
      <c r="F105" s="2"/>
      <c r="G105" s="5"/>
      <c r="H105" s="5"/>
      <c r="I105" s="5"/>
      <c r="J105" s="5"/>
      <c r="K105" s="4"/>
      <c r="L105" s="4"/>
      <c r="M105" s="3"/>
    </row>
    <row r="106" spans="1:13" s="13" customFormat="1" ht="15.75" customHeight="1" x14ac:dyDescent="0.2">
      <c r="A106" s="2"/>
      <c r="B106" s="2"/>
      <c r="C106" s="2"/>
      <c r="D106" s="24"/>
      <c r="E106" s="2"/>
      <c r="F106" s="2"/>
      <c r="G106" s="5"/>
      <c r="H106" s="5"/>
      <c r="I106" s="5"/>
      <c r="J106" s="5"/>
      <c r="K106" s="4"/>
      <c r="L106" s="4"/>
      <c r="M106" s="3"/>
    </row>
    <row r="107" spans="1:13" s="13" customFormat="1" ht="15.75" customHeight="1" x14ac:dyDescent="0.2">
      <c r="A107" s="2"/>
      <c r="B107" s="2"/>
      <c r="C107" s="2"/>
      <c r="D107" s="24"/>
      <c r="E107" s="2"/>
      <c r="F107" s="2"/>
      <c r="G107" s="5"/>
      <c r="H107" s="5"/>
      <c r="I107" s="5"/>
      <c r="J107" s="5"/>
      <c r="K107" s="4"/>
      <c r="L107" s="4"/>
      <c r="M107" s="3"/>
    </row>
    <row r="108" spans="1:13" s="13" customFormat="1" ht="15.75" customHeight="1" x14ac:dyDescent="0.2">
      <c r="A108" s="2"/>
      <c r="B108" s="2"/>
      <c r="C108" s="2"/>
      <c r="D108" s="24"/>
      <c r="E108" s="2"/>
      <c r="F108" s="2"/>
      <c r="G108" s="5"/>
      <c r="H108" s="5"/>
      <c r="I108" s="5"/>
      <c r="J108" s="5"/>
      <c r="K108" s="4"/>
      <c r="L108" s="4"/>
      <c r="M108" s="3"/>
    </row>
    <row r="109" spans="1:13" s="13" customFormat="1" ht="15.75" customHeight="1" x14ac:dyDescent="0.2">
      <c r="A109" s="2"/>
      <c r="B109" s="2"/>
      <c r="C109" s="2"/>
      <c r="D109" s="24"/>
      <c r="E109" s="2"/>
      <c r="F109" s="2"/>
      <c r="G109" s="5"/>
      <c r="H109" s="5"/>
      <c r="I109" s="5"/>
      <c r="J109" s="5"/>
      <c r="K109" s="4"/>
      <c r="L109" s="4"/>
      <c r="M109" s="3"/>
    </row>
    <row r="110" spans="1:13" s="13" customFormat="1" ht="15.75" customHeight="1" x14ac:dyDescent="0.2">
      <c r="A110" s="2"/>
      <c r="B110" s="2"/>
      <c r="C110" s="2"/>
      <c r="D110" s="24"/>
      <c r="E110" s="2"/>
      <c r="F110" s="2"/>
      <c r="G110" s="5"/>
      <c r="H110" s="5"/>
      <c r="I110" s="5"/>
      <c r="J110" s="5"/>
      <c r="K110" s="4"/>
      <c r="L110" s="4"/>
      <c r="M110" s="3"/>
    </row>
    <row r="111" spans="1:13" s="13" customFormat="1" ht="15.75" customHeight="1" x14ac:dyDescent="0.2">
      <c r="A111" s="2"/>
      <c r="B111" s="2"/>
      <c r="C111" s="2"/>
      <c r="D111" s="24"/>
      <c r="E111" s="2"/>
      <c r="F111" s="2"/>
      <c r="G111" s="5"/>
      <c r="H111" s="5"/>
      <c r="I111" s="5"/>
      <c r="J111" s="5"/>
      <c r="K111" s="4"/>
      <c r="L111" s="4"/>
      <c r="M111" s="3"/>
    </row>
    <row r="112" spans="1:13" s="13" customFormat="1" ht="15.75" customHeight="1" x14ac:dyDescent="0.2">
      <c r="A112" s="2"/>
      <c r="B112" s="2"/>
      <c r="C112" s="2"/>
      <c r="D112" s="24"/>
      <c r="E112" s="2"/>
      <c r="F112" s="2"/>
      <c r="G112" s="5"/>
      <c r="H112" s="5"/>
      <c r="I112" s="5"/>
      <c r="J112" s="5"/>
      <c r="K112" s="4"/>
      <c r="L112" s="4"/>
      <c r="M112" s="3"/>
    </row>
    <row r="113" spans="1:13" s="13" customFormat="1" ht="15.75" customHeight="1" x14ac:dyDescent="0.2">
      <c r="A113" s="2"/>
      <c r="B113" s="2"/>
      <c r="C113" s="2"/>
      <c r="D113" s="24"/>
      <c r="E113" s="2"/>
      <c r="F113" s="2"/>
      <c r="G113" s="5"/>
      <c r="H113" s="5"/>
      <c r="I113" s="5"/>
      <c r="J113" s="5"/>
      <c r="K113" s="4"/>
      <c r="L113" s="4"/>
      <c r="M113" s="3"/>
    </row>
    <row r="114" spans="1:13" s="13" customFormat="1" ht="15.75" customHeight="1" x14ac:dyDescent="0.2">
      <c r="A114" s="2"/>
      <c r="B114" s="2"/>
      <c r="C114" s="2"/>
      <c r="D114" s="24"/>
      <c r="E114" s="2"/>
      <c r="F114" s="2"/>
      <c r="G114" s="5"/>
      <c r="H114" s="5"/>
      <c r="I114" s="5"/>
      <c r="J114" s="5"/>
      <c r="K114" s="4"/>
      <c r="L114" s="4"/>
      <c r="M114" s="3"/>
    </row>
    <row r="115" spans="1:13" s="13" customFormat="1" ht="15.75" customHeight="1" x14ac:dyDescent="0.2">
      <c r="A115" s="2"/>
      <c r="B115" s="2"/>
      <c r="C115" s="2"/>
      <c r="D115" s="24"/>
      <c r="E115" s="2"/>
      <c r="F115" s="2"/>
      <c r="G115" s="5"/>
      <c r="H115" s="5"/>
      <c r="I115" s="5"/>
      <c r="J115" s="5"/>
      <c r="K115" s="4"/>
      <c r="L115" s="4"/>
      <c r="M115" s="3"/>
    </row>
    <row r="116" spans="1:13" s="13" customFormat="1" ht="15.75" customHeight="1" x14ac:dyDescent="0.2">
      <c r="A116" s="2"/>
      <c r="B116" s="2"/>
      <c r="C116" s="2"/>
      <c r="D116" s="24"/>
      <c r="E116" s="2"/>
      <c r="F116" s="2"/>
      <c r="G116" s="5"/>
      <c r="H116" s="5"/>
      <c r="I116" s="5"/>
      <c r="J116" s="5"/>
      <c r="K116" s="4"/>
      <c r="L116" s="4"/>
      <c r="M116" s="3"/>
    </row>
    <row r="117" spans="1:13" s="13" customFormat="1" ht="15.75" customHeight="1" x14ac:dyDescent="0.2">
      <c r="A117" s="2"/>
      <c r="B117" s="2"/>
      <c r="C117" s="2"/>
      <c r="D117" s="24"/>
      <c r="E117" s="2"/>
      <c r="F117" s="2"/>
      <c r="G117" s="5"/>
      <c r="H117" s="5"/>
      <c r="I117" s="5"/>
      <c r="J117" s="5"/>
      <c r="K117" s="4"/>
      <c r="L117" s="4"/>
      <c r="M117" s="3"/>
    </row>
    <row r="118" spans="1:13" s="13" customFormat="1" ht="15.75" customHeight="1" x14ac:dyDescent="0.2">
      <c r="A118" s="2"/>
      <c r="B118" s="2"/>
      <c r="C118" s="2"/>
      <c r="D118" s="24"/>
      <c r="E118" s="2"/>
      <c r="F118" s="2"/>
      <c r="G118" s="5"/>
      <c r="H118" s="5"/>
      <c r="I118" s="5"/>
      <c r="J118" s="5"/>
      <c r="K118" s="4"/>
      <c r="L118" s="4"/>
      <c r="M118" s="3"/>
    </row>
    <row r="119" spans="1:13" s="13" customFormat="1" ht="15.75" customHeight="1" x14ac:dyDescent="0.2">
      <c r="A119" s="2"/>
      <c r="B119" s="2"/>
      <c r="C119" s="2"/>
      <c r="D119" s="24"/>
      <c r="E119" s="2"/>
      <c r="F119" s="2"/>
      <c r="G119" s="5"/>
      <c r="H119" s="5"/>
      <c r="I119" s="5"/>
      <c r="J119" s="5"/>
      <c r="K119" s="4"/>
      <c r="L119" s="4"/>
      <c r="M119" s="3"/>
    </row>
    <row r="120" spans="1:13" s="13" customFormat="1" ht="15.75" customHeight="1" x14ac:dyDescent="0.2">
      <c r="A120" s="2"/>
      <c r="B120" s="2"/>
      <c r="C120" s="2"/>
      <c r="D120" s="24"/>
      <c r="E120" s="2"/>
      <c r="F120" s="2"/>
      <c r="G120" s="5"/>
      <c r="H120" s="5"/>
      <c r="I120" s="5"/>
      <c r="J120" s="5"/>
      <c r="K120" s="4"/>
      <c r="L120" s="4"/>
      <c r="M120" s="3"/>
    </row>
    <row r="121" spans="1:13" s="13" customFormat="1" ht="15.75" customHeight="1" x14ac:dyDescent="0.2">
      <c r="A121" s="2"/>
      <c r="B121" s="2"/>
      <c r="C121" s="2"/>
      <c r="D121" s="24"/>
      <c r="E121" s="2"/>
      <c r="F121" s="2"/>
      <c r="G121" s="5"/>
      <c r="H121" s="5"/>
      <c r="I121" s="5"/>
      <c r="J121" s="5"/>
      <c r="K121" s="4"/>
      <c r="L121" s="4"/>
      <c r="M121" s="3"/>
    </row>
    <row r="122" spans="1:13" s="13" customFormat="1" ht="15.75" customHeight="1" x14ac:dyDescent="0.2">
      <c r="A122" s="2"/>
      <c r="B122" s="2"/>
      <c r="C122" s="2"/>
      <c r="D122" s="24"/>
      <c r="E122" s="2"/>
      <c r="F122" s="2"/>
      <c r="G122" s="5"/>
      <c r="H122" s="5"/>
      <c r="I122" s="5"/>
      <c r="J122" s="5"/>
      <c r="K122" s="4"/>
      <c r="L122" s="4"/>
      <c r="M122" s="3"/>
    </row>
    <row r="123" spans="1:13" s="13" customFormat="1" ht="15.75" customHeight="1" x14ac:dyDescent="0.2">
      <c r="A123" s="2"/>
      <c r="B123" s="2"/>
      <c r="C123" s="2"/>
      <c r="D123" s="24"/>
      <c r="E123" s="2"/>
      <c r="F123" s="2"/>
      <c r="G123" s="5"/>
      <c r="H123" s="5"/>
      <c r="I123" s="5"/>
      <c r="J123" s="5"/>
      <c r="K123" s="4"/>
      <c r="L123" s="4"/>
      <c r="M123" s="3"/>
    </row>
    <row r="124" spans="1:13" s="13" customFormat="1" ht="15.75" customHeight="1" x14ac:dyDescent="0.2">
      <c r="A124" s="2"/>
      <c r="B124" s="2"/>
      <c r="C124" s="2"/>
      <c r="D124" s="24"/>
      <c r="E124" s="2"/>
      <c r="F124" s="2"/>
      <c r="G124" s="5"/>
      <c r="H124" s="5"/>
      <c r="I124" s="5"/>
      <c r="J124" s="5"/>
      <c r="K124" s="4"/>
      <c r="L124" s="4"/>
      <c r="M124" s="3"/>
    </row>
    <row r="125" spans="1:13" s="13" customFormat="1" ht="15.75" customHeight="1" x14ac:dyDescent="0.2">
      <c r="A125" s="2"/>
      <c r="B125" s="2"/>
      <c r="C125" s="2"/>
      <c r="D125" s="24"/>
      <c r="E125" s="2"/>
      <c r="F125" s="2"/>
      <c r="G125" s="5"/>
      <c r="H125" s="5"/>
      <c r="I125" s="5"/>
      <c r="J125" s="5"/>
      <c r="K125" s="4"/>
      <c r="L125" s="4"/>
      <c r="M125" s="3"/>
    </row>
    <row r="126" spans="1:13" s="13" customFormat="1" ht="15.75" customHeight="1" x14ac:dyDescent="0.2">
      <c r="A126" s="2"/>
      <c r="B126" s="2"/>
      <c r="C126" s="2"/>
      <c r="D126" s="24"/>
      <c r="E126" s="2"/>
      <c r="F126" s="2"/>
      <c r="G126" s="5"/>
      <c r="H126" s="5"/>
      <c r="I126" s="5"/>
      <c r="J126" s="5"/>
      <c r="K126" s="4"/>
      <c r="L126" s="4"/>
      <c r="M126" s="3"/>
    </row>
    <row r="127" spans="1:13" s="13" customFormat="1" ht="15.75" customHeight="1" x14ac:dyDescent="0.2">
      <c r="A127" s="2"/>
      <c r="B127" s="2"/>
      <c r="C127" s="2"/>
      <c r="D127" s="24"/>
      <c r="E127" s="2"/>
      <c r="F127" s="2"/>
      <c r="G127" s="5"/>
      <c r="H127" s="5"/>
      <c r="I127" s="5"/>
      <c r="J127" s="5"/>
      <c r="K127" s="4"/>
      <c r="L127" s="4"/>
      <c r="M127" s="3"/>
    </row>
    <row r="128" spans="1:13" s="13" customFormat="1" ht="15.75" customHeight="1" x14ac:dyDescent="0.2">
      <c r="A128" s="2"/>
      <c r="B128" s="2"/>
      <c r="C128" s="2"/>
      <c r="D128" s="24"/>
      <c r="E128" s="2"/>
      <c r="F128" s="2"/>
      <c r="G128" s="5"/>
      <c r="H128" s="5"/>
      <c r="I128" s="5"/>
      <c r="J128" s="5"/>
      <c r="K128" s="4"/>
      <c r="L128" s="4"/>
      <c r="M128" s="3"/>
    </row>
    <row r="129" spans="1:13" s="13" customFormat="1" ht="15.75" customHeight="1" x14ac:dyDescent="0.2">
      <c r="A129" s="2"/>
      <c r="B129" s="2"/>
      <c r="C129" s="2"/>
      <c r="D129" s="24"/>
      <c r="E129" s="2"/>
      <c r="F129" s="2"/>
      <c r="G129" s="5"/>
      <c r="H129" s="5"/>
      <c r="I129" s="5"/>
      <c r="J129" s="5"/>
      <c r="K129" s="4"/>
      <c r="L129" s="4"/>
      <c r="M129" s="3"/>
    </row>
    <row r="130" spans="1:13" s="13" customFormat="1" ht="15.75" customHeight="1" x14ac:dyDescent="0.2">
      <c r="A130" s="2"/>
      <c r="B130" s="2"/>
      <c r="C130" s="2"/>
      <c r="D130" s="24"/>
      <c r="E130" s="2"/>
      <c r="F130" s="2"/>
      <c r="G130" s="5"/>
      <c r="H130" s="5"/>
      <c r="I130" s="5"/>
      <c r="J130" s="5"/>
      <c r="K130" s="4"/>
      <c r="L130" s="4"/>
      <c r="M130" s="3"/>
    </row>
    <row r="131" spans="1:13" s="13" customFormat="1" ht="15.75" customHeight="1" x14ac:dyDescent="0.2">
      <c r="A131" s="2"/>
      <c r="B131" s="2"/>
      <c r="C131" s="2"/>
      <c r="D131" s="24"/>
      <c r="E131" s="2"/>
      <c r="F131" s="2"/>
      <c r="G131" s="5"/>
      <c r="H131" s="5"/>
      <c r="I131" s="5"/>
      <c r="J131" s="5"/>
      <c r="K131" s="4"/>
      <c r="L131" s="4"/>
      <c r="M131" s="3"/>
    </row>
    <row r="132" spans="1:13" s="13" customFormat="1" ht="15.75" customHeight="1" x14ac:dyDescent="0.2">
      <c r="A132" s="2"/>
      <c r="B132" s="2"/>
      <c r="C132" s="2"/>
      <c r="D132" s="24"/>
      <c r="E132" s="2"/>
      <c r="F132" s="2"/>
      <c r="G132" s="5"/>
      <c r="H132" s="5"/>
      <c r="I132" s="5"/>
      <c r="J132" s="5"/>
      <c r="K132" s="4"/>
      <c r="L132" s="4"/>
      <c r="M132" s="3"/>
    </row>
    <row r="133" spans="1:13" s="13" customFormat="1" ht="15.75" customHeight="1" x14ac:dyDescent="0.2">
      <c r="A133" s="2"/>
      <c r="B133" s="2"/>
      <c r="C133" s="2"/>
      <c r="D133" s="24"/>
      <c r="E133" s="2"/>
      <c r="F133" s="2"/>
      <c r="G133" s="5"/>
      <c r="H133" s="5"/>
      <c r="I133" s="5"/>
      <c r="J133" s="5"/>
      <c r="K133" s="4"/>
      <c r="L133" s="4"/>
      <c r="M133" s="3"/>
    </row>
    <row r="134" spans="1:13" s="13" customFormat="1" ht="15.75" customHeight="1" x14ac:dyDescent="0.2">
      <c r="A134" s="2"/>
      <c r="B134" s="2"/>
      <c r="C134" s="2"/>
      <c r="D134" s="24"/>
      <c r="E134" s="2"/>
      <c r="F134" s="2"/>
      <c r="G134" s="5"/>
      <c r="H134" s="5"/>
      <c r="I134" s="5"/>
      <c r="J134" s="5"/>
      <c r="K134" s="4"/>
      <c r="L134" s="4"/>
      <c r="M134" s="3"/>
    </row>
    <row r="135" spans="1:13" s="13" customFormat="1" ht="15.75" customHeight="1" x14ac:dyDescent="0.2">
      <c r="A135" s="2"/>
      <c r="B135" s="2"/>
      <c r="C135" s="2"/>
      <c r="D135" s="24"/>
      <c r="E135" s="2"/>
      <c r="F135" s="2"/>
      <c r="G135" s="5"/>
      <c r="H135" s="5"/>
      <c r="I135" s="5"/>
      <c r="J135" s="5"/>
      <c r="K135" s="4"/>
      <c r="L135" s="4"/>
      <c r="M135" s="3"/>
    </row>
    <row r="136" spans="1:13" s="13" customFormat="1" ht="15.75" customHeight="1" x14ac:dyDescent="0.2">
      <c r="A136" s="2"/>
      <c r="B136" s="2"/>
      <c r="C136" s="2"/>
      <c r="D136" s="24"/>
      <c r="E136" s="2"/>
      <c r="F136" s="2"/>
      <c r="G136" s="5"/>
      <c r="H136" s="5"/>
      <c r="I136" s="5"/>
      <c r="J136" s="5"/>
      <c r="K136" s="4"/>
      <c r="L136" s="4"/>
      <c r="M136" s="3"/>
    </row>
    <row r="137" spans="1:13" s="13" customFormat="1" ht="15.75" customHeight="1" x14ac:dyDescent="0.2">
      <c r="A137" s="2"/>
      <c r="B137" s="2"/>
      <c r="C137" s="2"/>
      <c r="D137" s="24"/>
      <c r="E137" s="2"/>
      <c r="F137" s="2"/>
      <c r="G137" s="5"/>
      <c r="H137" s="5"/>
      <c r="I137" s="5"/>
      <c r="J137" s="5"/>
      <c r="K137" s="4"/>
      <c r="L137" s="4"/>
      <c r="M137" s="3"/>
    </row>
    <row r="138" spans="1:13" s="13" customFormat="1" ht="15.75" customHeight="1" x14ac:dyDescent="0.2">
      <c r="A138" s="2"/>
      <c r="B138" s="2"/>
      <c r="C138" s="2"/>
      <c r="D138" s="24"/>
      <c r="E138" s="2"/>
      <c r="F138" s="2"/>
      <c r="G138" s="5"/>
      <c r="H138" s="5"/>
      <c r="I138" s="5"/>
      <c r="J138" s="5"/>
      <c r="K138" s="4"/>
      <c r="L138" s="4"/>
      <c r="M138" s="3"/>
    </row>
    <row r="139" spans="1:13" s="13" customFormat="1" ht="15.75" customHeight="1" x14ac:dyDescent="0.2">
      <c r="A139" s="2"/>
      <c r="B139" s="2"/>
      <c r="C139" s="2"/>
      <c r="D139" s="24"/>
      <c r="E139" s="2"/>
      <c r="F139" s="2"/>
      <c r="G139" s="5"/>
      <c r="H139" s="5"/>
      <c r="I139" s="5"/>
      <c r="J139" s="5"/>
      <c r="K139" s="4"/>
      <c r="L139" s="4"/>
      <c r="M139" s="3"/>
    </row>
    <row r="140" spans="1:13" s="13" customFormat="1" ht="15.75" customHeight="1" x14ac:dyDescent="0.2">
      <c r="A140" s="2"/>
      <c r="B140" s="2"/>
      <c r="C140" s="2"/>
      <c r="D140" s="24"/>
      <c r="E140" s="2"/>
      <c r="F140" s="2"/>
      <c r="G140" s="5"/>
      <c r="H140" s="5"/>
      <c r="I140" s="5"/>
      <c r="J140" s="5"/>
      <c r="K140" s="4"/>
      <c r="L140" s="4"/>
      <c r="M140" s="3"/>
    </row>
    <row r="141" spans="1:13" s="13" customFormat="1" ht="15.75" customHeight="1" x14ac:dyDescent="0.2">
      <c r="A141" s="2"/>
      <c r="B141" s="2"/>
      <c r="C141" s="2"/>
      <c r="D141" s="24"/>
      <c r="E141" s="2"/>
      <c r="F141" s="2"/>
      <c r="G141" s="5"/>
      <c r="H141" s="5"/>
      <c r="I141" s="5"/>
      <c r="J141" s="5"/>
      <c r="K141" s="4"/>
      <c r="L141" s="4"/>
      <c r="M141" s="3"/>
    </row>
    <row r="142" spans="1:13" s="13" customFormat="1" ht="15.75" customHeight="1" x14ac:dyDescent="0.2">
      <c r="A142" s="2"/>
      <c r="B142" s="2"/>
      <c r="C142" s="2"/>
      <c r="D142" s="24"/>
      <c r="E142" s="2"/>
      <c r="F142" s="2"/>
      <c r="G142" s="5"/>
      <c r="H142" s="5"/>
      <c r="I142" s="5"/>
      <c r="J142" s="5"/>
      <c r="K142" s="4"/>
      <c r="L142" s="4"/>
      <c r="M142" s="3"/>
    </row>
    <row r="143" spans="1:13" s="13" customFormat="1" ht="15.75" customHeight="1" x14ac:dyDescent="0.2">
      <c r="A143" s="2"/>
      <c r="B143" s="2"/>
      <c r="C143" s="2"/>
      <c r="D143" s="24"/>
      <c r="E143" s="2"/>
      <c r="F143" s="2"/>
      <c r="G143" s="5"/>
      <c r="H143" s="5"/>
      <c r="I143" s="5"/>
      <c r="J143" s="5"/>
      <c r="K143" s="4"/>
      <c r="L143" s="4"/>
      <c r="M143" s="3"/>
    </row>
    <row r="144" spans="1:13" s="13" customFormat="1" ht="15.75" customHeight="1" x14ac:dyDescent="0.2">
      <c r="A144" s="2"/>
      <c r="B144" s="2"/>
      <c r="C144" s="2"/>
      <c r="D144" s="24"/>
      <c r="E144" s="2"/>
      <c r="F144" s="2"/>
      <c r="G144" s="5"/>
      <c r="H144" s="5"/>
      <c r="I144" s="5"/>
      <c r="J144" s="5"/>
      <c r="K144" s="4"/>
      <c r="L144" s="4"/>
      <c r="M144" s="3"/>
    </row>
    <row r="145" spans="1:13" s="13" customFormat="1" ht="15.75" customHeight="1" x14ac:dyDescent="0.2">
      <c r="A145" s="2"/>
      <c r="B145" s="2"/>
      <c r="C145" s="2"/>
      <c r="D145" s="24"/>
      <c r="E145" s="2"/>
      <c r="F145" s="2"/>
      <c r="G145" s="5"/>
      <c r="H145" s="5"/>
      <c r="I145" s="5"/>
      <c r="J145" s="5"/>
      <c r="K145" s="4"/>
      <c r="L145" s="4"/>
      <c r="M145" s="3"/>
    </row>
    <row r="146" spans="1:13" s="13" customFormat="1" ht="15.75" customHeight="1" x14ac:dyDescent="0.2">
      <c r="A146" s="2"/>
      <c r="B146" s="2"/>
      <c r="C146" s="2"/>
      <c r="D146" s="24"/>
      <c r="E146" s="2"/>
      <c r="F146" s="2"/>
      <c r="G146" s="5"/>
      <c r="H146" s="5"/>
      <c r="I146" s="5"/>
      <c r="J146" s="5"/>
      <c r="K146" s="4"/>
      <c r="L146" s="4"/>
      <c r="M146" s="3"/>
    </row>
    <row r="147" spans="1:13" s="13" customFormat="1" ht="15.75" customHeight="1" x14ac:dyDescent="0.2">
      <c r="A147" s="2"/>
      <c r="B147" s="2"/>
      <c r="C147" s="2"/>
      <c r="D147" s="24"/>
      <c r="E147" s="2"/>
      <c r="F147" s="2"/>
      <c r="G147" s="5"/>
      <c r="H147" s="5"/>
      <c r="I147" s="5"/>
      <c r="J147" s="5"/>
      <c r="K147" s="4"/>
      <c r="L147" s="4"/>
      <c r="M147" s="3"/>
    </row>
    <row r="148" spans="1:13" s="13" customFormat="1" ht="15.75" customHeight="1" x14ac:dyDescent="0.2">
      <c r="A148" s="2"/>
      <c r="B148" s="2"/>
      <c r="C148" s="2"/>
      <c r="D148" s="24"/>
      <c r="E148" s="2"/>
      <c r="F148" s="2"/>
      <c r="G148" s="5"/>
      <c r="H148" s="5"/>
      <c r="I148" s="5"/>
      <c r="J148" s="5"/>
      <c r="K148" s="4"/>
      <c r="L148" s="4"/>
      <c r="M148" s="3"/>
    </row>
    <row r="149" spans="1:13" s="13" customFormat="1" ht="15.75" customHeight="1" x14ac:dyDescent="0.2">
      <c r="A149" s="2"/>
      <c r="B149" s="2"/>
      <c r="C149" s="2"/>
      <c r="D149" s="24"/>
      <c r="E149" s="2"/>
      <c r="F149" s="2"/>
      <c r="G149" s="5"/>
      <c r="H149" s="5"/>
      <c r="I149" s="5"/>
      <c r="J149" s="5"/>
      <c r="K149" s="4"/>
      <c r="L149" s="4"/>
      <c r="M149" s="3"/>
    </row>
    <row r="150" spans="1:13" s="13" customFormat="1" ht="15.75" customHeight="1" x14ac:dyDescent="0.2">
      <c r="A150" s="2"/>
      <c r="B150" s="2"/>
      <c r="C150" s="2"/>
      <c r="D150" s="24"/>
      <c r="E150" s="2"/>
      <c r="F150" s="2"/>
      <c r="G150" s="5"/>
      <c r="H150" s="5"/>
      <c r="I150" s="5"/>
      <c r="J150" s="5"/>
      <c r="K150" s="4"/>
      <c r="L150" s="4"/>
      <c r="M150" s="3"/>
    </row>
    <row r="151" spans="1:13" s="13" customFormat="1" ht="15.75" customHeight="1" x14ac:dyDescent="0.2">
      <c r="A151" s="2"/>
      <c r="B151" s="2"/>
      <c r="C151" s="2"/>
      <c r="D151" s="24"/>
      <c r="E151" s="2"/>
      <c r="F151" s="2"/>
      <c r="G151" s="5"/>
      <c r="H151" s="5"/>
      <c r="I151" s="5"/>
      <c r="J151" s="5"/>
      <c r="K151" s="4"/>
      <c r="L151" s="4"/>
      <c r="M151" s="3"/>
    </row>
    <row r="152" spans="1:13" s="13" customFormat="1" ht="15.75" customHeight="1" x14ac:dyDescent="0.2">
      <c r="A152" s="2"/>
      <c r="B152" s="2"/>
      <c r="C152" s="2"/>
      <c r="D152" s="24"/>
      <c r="E152" s="2"/>
      <c r="F152" s="2"/>
      <c r="G152" s="5"/>
      <c r="H152" s="5"/>
      <c r="I152" s="5"/>
      <c r="J152" s="5"/>
      <c r="K152" s="4"/>
      <c r="L152" s="4"/>
      <c r="M152" s="3"/>
    </row>
    <row r="153" spans="1:13" s="13" customFormat="1" ht="15.75" customHeight="1" x14ac:dyDescent="0.2">
      <c r="A153" s="2"/>
      <c r="B153" s="2"/>
      <c r="C153" s="2"/>
      <c r="D153" s="24"/>
      <c r="E153" s="2"/>
      <c r="F153" s="2"/>
      <c r="G153" s="5"/>
      <c r="H153" s="5"/>
      <c r="I153" s="5"/>
      <c r="J153" s="5"/>
      <c r="K153" s="4"/>
      <c r="L153" s="4"/>
      <c r="M153" s="3"/>
    </row>
    <row r="154" spans="1:13" s="13" customFormat="1" ht="15.75" customHeight="1" x14ac:dyDescent="0.2">
      <c r="A154" s="2"/>
      <c r="B154" s="2"/>
      <c r="C154" s="2"/>
      <c r="D154" s="24"/>
      <c r="E154" s="2"/>
      <c r="F154" s="2"/>
      <c r="G154" s="5"/>
      <c r="H154" s="5"/>
      <c r="I154" s="5"/>
      <c r="J154" s="5"/>
      <c r="K154" s="4"/>
      <c r="L154" s="4"/>
      <c r="M154" s="3"/>
    </row>
    <row r="155" spans="1:13" s="13" customFormat="1" ht="15.75" customHeight="1" x14ac:dyDescent="0.2">
      <c r="A155" s="2"/>
      <c r="B155" s="2"/>
      <c r="C155" s="2"/>
      <c r="D155" s="24"/>
      <c r="E155" s="2"/>
      <c r="F155" s="2"/>
      <c r="G155" s="5"/>
      <c r="H155" s="5"/>
      <c r="I155" s="5"/>
      <c r="J155" s="5"/>
      <c r="K155" s="4"/>
      <c r="L155" s="4"/>
      <c r="M155" s="3"/>
    </row>
    <row r="156" spans="1:13" s="13" customFormat="1" ht="15.75" customHeight="1" x14ac:dyDescent="0.2">
      <c r="A156" s="2"/>
      <c r="B156" s="2"/>
      <c r="C156" s="2"/>
      <c r="D156" s="24"/>
      <c r="E156" s="2"/>
      <c r="F156" s="2"/>
      <c r="G156" s="5"/>
      <c r="H156" s="5"/>
      <c r="I156" s="5"/>
      <c r="J156" s="5"/>
      <c r="K156" s="4"/>
      <c r="L156" s="4"/>
      <c r="M156" s="3"/>
    </row>
    <row r="157" spans="1:13" s="13" customFormat="1" ht="15.75" customHeight="1" x14ac:dyDescent="0.2">
      <c r="A157" s="2"/>
      <c r="B157" s="2"/>
      <c r="C157" s="2"/>
      <c r="D157" s="24"/>
      <c r="E157" s="2"/>
      <c r="F157" s="2"/>
      <c r="G157" s="5"/>
      <c r="H157" s="5"/>
      <c r="I157" s="5"/>
      <c r="J157" s="5"/>
      <c r="K157" s="4"/>
      <c r="L157" s="4"/>
      <c r="M157" s="3"/>
    </row>
    <row r="158" spans="1:13" s="13" customFormat="1" ht="15.75" customHeight="1" x14ac:dyDescent="0.2">
      <c r="A158" s="2"/>
      <c r="B158" s="2"/>
      <c r="C158" s="2"/>
      <c r="D158" s="24"/>
      <c r="E158" s="2"/>
      <c r="F158" s="2"/>
      <c r="G158" s="5"/>
      <c r="H158" s="5"/>
      <c r="I158" s="5"/>
      <c r="J158" s="5"/>
      <c r="K158" s="4"/>
      <c r="L158" s="4"/>
      <c r="M158" s="3"/>
    </row>
    <row r="159" spans="1:13" s="13" customFormat="1" ht="15.75" customHeight="1" x14ac:dyDescent="0.2">
      <c r="A159" s="2"/>
      <c r="B159" s="2"/>
      <c r="C159" s="2"/>
      <c r="D159" s="24"/>
      <c r="E159" s="2"/>
      <c r="F159" s="2"/>
      <c r="G159" s="5"/>
      <c r="H159" s="5"/>
      <c r="I159" s="5"/>
      <c r="J159" s="5"/>
      <c r="K159" s="4"/>
      <c r="L159" s="4"/>
      <c r="M159" s="3"/>
    </row>
    <row r="160" spans="1:13" s="13" customFormat="1" ht="15.75" customHeight="1" x14ac:dyDescent="0.2">
      <c r="A160" s="2"/>
      <c r="B160" s="2"/>
      <c r="C160" s="2"/>
      <c r="D160" s="24"/>
      <c r="E160" s="2"/>
      <c r="F160" s="2"/>
      <c r="G160" s="5"/>
      <c r="H160" s="5"/>
      <c r="I160" s="5"/>
      <c r="J160" s="5"/>
      <c r="K160" s="4"/>
      <c r="L160" s="4"/>
      <c r="M160" s="3"/>
    </row>
    <row r="161" spans="1:13" s="13" customFormat="1" ht="15.75" customHeight="1" x14ac:dyDescent="0.2">
      <c r="A161" s="2"/>
      <c r="B161" s="2"/>
      <c r="C161" s="2"/>
      <c r="D161" s="24"/>
      <c r="E161" s="2"/>
      <c r="F161" s="2"/>
      <c r="G161" s="5"/>
      <c r="H161" s="5"/>
      <c r="I161" s="5"/>
      <c r="J161" s="5"/>
      <c r="K161" s="4"/>
      <c r="L161" s="4"/>
      <c r="M161" s="3"/>
    </row>
    <row r="162" spans="1:13" s="13" customFormat="1" ht="15.75" customHeight="1" x14ac:dyDescent="0.2">
      <c r="A162" s="2"/>
      <c r="B162" s="2"/>
      <c r="C162" s="2"/>
      <c r="D162" s="24"/>
      <c r="E162" s="2"/>
      <c r="F162" s="2"/>
      <c r="G162" s="5"/>
      <c r="H162" s="5"/>
      <c r="I162" s="5"/>
      <c r="J162" s="5"/>
      <c r="K162" s="4"/>
      <c r="L162" s="4"/>
      <c r="M162" s="3"/>
    </row>
    <row r="163" spans="1:13" s="13" customFormat="1" ht="15.75" customHeight="1" x14ac:dyDescent="0.2">
      <c r="A163" s="2"/>
      <c r="B163" s="2"/>
      <c r="C163" s="2"/>
      <c r="D163" s="24"/>
      <c r="E163" s="2"/>
      <c r="F163" s="2"/>
      <c r="G163" s="5"/>
      <c r="H163" s="5"/>
      <c r="I163" s="5"/>
      <c r="J163" s="5"/>
      <c r="K163" s="4"/>
      <c r="L163" s="4"/>
      <c r="M163" s="3"/>
    </row>
    <row r="164" spans="1:13" s="13" customFormat="1" ht="15.75" customHeight="1" x14ac:dyDescent="0.2">
      <c r="A164" s="2"/>
      <c r="B164" s="2"/>
      <c r="C164" s="2"/>
      <c r="D164" s="24"/>
      <c r="E164" s="2"/>
      <c r="F164" s="2"/>
      <c r="G164" s="5"/>
      <c r="H164" s="5"/>
      <c r="I164" s="5"/>
      <c r="J164" s="5"/>
      <c r="K164" s="4"/>
      <c r="L164" s="4"/>
      <c r="M164" s="3"/>
    </row>
    <row r="165" spans="1:13" s="13" customFormat="1" ht="15.75" customHeight="1" x14ac:dyDescent="0.2">
      <c r="A165" s="2"/>
      <c r="B165" s="2"/>
      <c r="C165" s="2"/>
      <c r="D165" s="24"/>
      <c r="E165" s="2"/>
      <c r="F165" s="2"/>
      <c r="G165" s="5"/>
      <c r="H165" s="5"/>
      <c r="I165" s="5"/>
      <c r="J165" s="5"/>
      <c r="K165" s="4"/>
      <c r="L165" s="4"/>
      <c r="M165" s="3"/>
    </row>
    <row r="166" spans="1:13" s="13" customFormat="1" ht="15.75" customHeight="1" x14ac:dyDescent="0.2">
      <c r="A166" s="2"/>
      <c r="B166" s="2"/>
      <c r="C166" s="2"/>
      <c r="D166" s="24"/>
      <c r="E166" s="2"/>
      <c r="F166" s="2"/>
      <c r="G166" s="5"/>
      <c r="H166" s="5"/>
      <c r="I166" s="5"/>
      <c r="J166" s="5"/>
      <c r="K166" s="4"/>
      <c r="L166" s="4"/>
      <c r="M166" s="3"/>
    </row>
    <row r="167" spans="1:13" s="13" customFormat="1" ht="15.75" customHeight="1" x14ac:dyDescent="0.2">
      <c r="A167" s="2"/>
      <c r="B167" s="2"/>
      <c r="C167" s="2"/>
      <c r="D167" s="24"/>
      <c r="E167" s="2"/>
      <c r="F167" s="2"/>
      <c r="G167" s="5"/>
      <c r="H167" s="5"/>
      <c r="I167" s="5"/>
      <c r="J167" s="5"/>
      <c r="K167" s="4"/>
      <c r="L167" s="4"/>
      <c r="M167" s="3"/>
    </row>
    <row r="168" spans="1:13" s="13" customFormat="1" ht="15.75" customHeight="1" x14ac:dyDescent="0.2">
      <c r="A168" s="2"/>
      <c r="B168" s="2"/>
      <c r="C168" s="2"/>
      <c r="D168" s="24"/>
      <c r="E168" s="2"/>
      <c r="F168" s="2"/>
      <c r="G168" s="5"/>
      <c r="H168" s="5"/>
      <c r="I168" s="5"/>
      <c r="J168" s="5"/>
      <c r="K168" s="4"/>
      <c r="L168" s="4"/>
      <c r="M168" s="3"/>
    </row>
    <row r="169" spans="1:13" s="13" customFormat="1" ht="15.75" customHeight="1" x14ac:dyDescent="0.2">
      <c r="A169" s="2"/>
      <c r="B169" s="2"/>
      <c r="C169" s="2"/>
      <c r="D169" s="24"/>
      <c r="E169" s="2"/>
      <c r="F169" s="2"/>
      <c r="G169" s="5"/>
      <c r="H169" s="5"/>
      <c r="I169" s="5"/>
      <c r="J169" s="5"/>
      <c r="K169" s="4"/>
      <c r="L169" s="4"/>
      <c r="M169" s="3"/>
    </row>
    <row r="170" spans="1:13" s="13" customFormat="1" ht="15.75" customHeight="1" x14ac:dyDescent="0.2">
      <c r="A170" s="2"/>
      <c r="B170" s="2"/>
      <c r="C170" s="2"/>
      <c r="D170" s="24"/>
      <c r="E170" s="2"/>
      <c r="F170" s="2"/>
      <c r="G170" s="5"/>
      <c r="H170" s="5"/>
      <c r="I170" s="5"/>
      <c r="J170" s="5"/>
      <c r="K170" s="4"/>
      <c r="L170" s="4"/>
      <c r="M170" s="3"/>
    </row>
    <row r="171" spans="1:13" s="13" customFormat="1" ht="15.75" customHeight="1" x14ac:dyDescent="0.2">
      <c r="A171" s="2"/>
      <c r="B171" s="2"/>
      <c r="C171" s="2"/>
      <c r="D171" s="24"/>
      <c r="E171" s="2"/>
      <c r="F171" s="2"/>
      <c r="G171" s="5"/>
      <c r="H171" s="5"/>
      <c r="I171" s="5"/>
      <c r="J171" s="5"/>
      <c r="K171" s="4"/>
      <c r="L171" s="4"/>
      <c r="M171" s="3"/>
    </row>
    <row r="172" spans="1:13" s="13" customFormat="1" ht="15.75" customHeight="1" x14ac:dyDescent="0.2">
      <c r="A172" s="2"/>
      <c r="B172" s="2"/>
      <c r="C172" s="2"/>
      <c r="D172" s="24"/>
      <c r="E172" s="2"/>
      <c r="F172" s="2"/>
      <c r="G172" s="5"/>
      <c r="H172" s="5"/>
      <c r="I172" s="5"/>
      <c r="J172" s="5"/>
      <c r="K172" s="4"/>
      <c r="L172" s="4"/>
      <c r="M172" s="3"/>
    </row>
    <row r="173" spans="1:13" s="13" customFormat="1" ht="15.75" customHeight="1" x14ac:dyDescent="0.2">
      <c r="A173" s="2"/>
      <c r="B173" s="2"/>
      <c r="C173" s="2"/>
      <c r="D173" s="24"/>
      <c r="E173" s="2"/>
      <c r="F173" s="2"/>
      <c r="G173" s="5"/>
      <c r="H173" s="5"/>
      <c r="I173" s="5"/>
      <c r="J173" s="5"/>
      <c r="K173" s="4"/>
      <c r="L173" s="4"/>
      <c r="M173" s="3"/>
    </row>
    <row r="174" spans="1:13" s="13" customFormat="1" ht="15.75" customHeight="1" x14ac:dyDescent="0.2">
      <c r="A174" s="2"/>
      <c r="B174" s="2"/>
      <c r="C174" s="2"/>
      <c r="D174" s="24"/>
      <c r="E174" s="2"/>
      <c r="F174" s="2"/>
      <c r="G174" s="5"/>
      <c r="H174" s="5"/>
      <c r="I174" s="5"/>
      <c r="J174" s="5"/>
      <c r="K174" s="4"/>
      <c r="L174" s="4"/>
      <c r="M174" s="3"/>
    </row>
    <row r="175" spans="1:13" s="13" customFormat="1" ht="15.75" customHeight="1" x14ac:dyDescent="0.2">
      <c r="A175" s="2"/>
      <c r="B175" s="2"/>
      <c r="C175" s="2"/>
      <c r="D175" s="24"/>
      <c r="E175" s="2"/>
      <c r="F175" s="2"/>
      <c r="G175" s="5"/>
      <c r="H175" s="5"/>
      <c r="I175" s="5"/>
      <c r="J175" s="5"/>
      <c r="K175" s="4"/>
      <c r="L175" s="4"/>
      <c r="M175" s="3"/>
    </row>
    <row r="176" spans="1:13" s="13" customFormat="1" ht="15.75" customHeight="1" x14ac:dyDescent="0.2">
      <c r="A176" s="2"/>
      <c r="B176" s="2"/>
      <c r="C176" s="2"/>
      <c r="D176" s="24"/>
      <c r="E176" s="2"/>
      <c r="F176" s="2"/>
      <c r="G176" s="5"/>
      <c r="H176" s="5"/>
      <c r="I176" s="5"/>
      <c r="J176" s="5"/>
      <c r="K176" s="4"/>
      <c r="L176" s="4"/>
      <c r="M176" s="3"/>
    </row>
    <row r="177" spans="1:13" s="13" customFormat="1" ht="15.75" customHeight="1" x14ac:dyDescent="0.2">
      <c r="A177" s="2"/>
      <c r="B177" s="2"/>
      <c r="C177" s="2"/>
      <c r="D177" s="24"/>
      <c r="E177" s="2"/>
      <c r="F177" s="2"/>
      <c r="G177" s="5"/>
      <c r="H177" s="5"/>
      <c r="I177" s="5"/>
      <c r="J177" s="5"/>
      <c r="K177" s="4"/>
      <c r="L177" s="4"/>
      <c r="M177" s="3"/>
    </row>
    <row r="178" spans="1:13" s="13" customFormat="1" ht="15.75" customHeight="1" x14ac:dyDescent="0.2">
      <c r="A178" s="2"/>
      <c r="B178" s="2"/>
      <c r="C178" s="2"/>
      <c r="D178" s="24"/>
      <c r="E178" s="2"/>
      <c r="F178" s="2"/>
      <c r="G178" s="5"/>
      <c r="H178" s="5"/>
      <c r="I178" s="5"/>
      <c r="J178" s="5"/>
      <c r="K178" s="4"/>
      <c r="L178" s="4"/>
      <c r="M178" s="3"/>
    </row>
    <row r="179" spans="1:13" s="13" customFormat="1" ht="15.75" customHeight="1" x14ac:dyDescent="0.2">
      <c r="A179" s="2"/>
      <c r="B179" s="2"/>
      <c r="C179" s="2"/>
      <c r="D179" s="24"/>
      <c r="E179" s="2"/>
      <c r="F179" s="2"/>
      <c r="G179" s="5"/>
      <c r="H179" s="5"/>
      <c r="I179" s="5"/>
      <c r="J179" s="5"/>
      <c r="K179" s="4"/>
      <c r="L179" s="4"/>
      <c r="M179" s="3"/>
    </row>
    <row r="180" spans="1:13" s="13" customFormat="1" ht="15.75" customHeight="1" x14ac:dyDescent="0.2">
      <c r="A180" s="2"/>
      <c r="B180" s="2"/>
      <c r="C180" s="2"/>
      <c r="D180" s="24"/>
      <c r="E180" s="2"/>
      <c r="F180" s="2"/>
      <c r="G180" s="5"/>
      <c r="H180" s="5"/>
      <c r="I180" s="5"/>
      <c r="J180" s="5"/>
      <c r="K180" s="4"/>
      <c r="L180" s="4"/>
      <c r="M180" s="3"/>
    </row>
    <row r="181" spans="1:13" s="13" customFormat="1" ht="15.75" customHeight="1" x14ac:dyDescent="0.2">
      <c r="A181" s="2"/>
      <c r="B181" s="2"/>
      <c r="C181" s="2"/>
      <c r="D181" s="24"/>
      <c r="E181" s="2"/>
      <c r="F181" s="2"/>
      <c r="G181" s="5"/>
      <c r="H181" s="5"/>
      <c r="I181" s="5"/>
      <c r="J181" s="5"/>
      <c r="K181" s="4"/>
      <c r="L181" s="4"/>
      <c r="M181" s="3"/>
    </row>
    <row r="182" spans="1:13" s="13" customFormat="1" ht="15.75" customHeight="1" x14ac:dyDescent="0.2">
      <c r="A182" s="2"/>
      <c r="B182" s="2"/>
      <c r="C182" s="2"/>
      <c r="D182" s="24"/>
      <c r="E182" s="2"/>
      <c r="F182" s="2"/>
      <c r="G182" s="5"/>
      <c r="H182" s="5"/>
      <c r="I182" s="5"/>
      <c r="J182" s="5"/>
      <c r="K182" s="4"/>
      <c r="L182" s="4"/>
      <c r="M182" s="3"/>
    </row>
    <row r="183" spans="1:13" s="13" customFormat="1" ht="15.75" customHeight="1" x14ac:dyDescent="0.2">
      <c r="A183" s="2"/>
      <c r="B183" s="2"/>
      <c r="C183" s="2"/>
      <c r="D183" s="24"/>
      <c r="E183" s="2"/>
      <c r="F183" s="2"/>
      <c r="G183" s="5"/>
      <c r="H183" s="5"/>
      <c r="I183" s="5"/>
      <c r="J183" s="5"/>
      <c r="K183" s="4"/>
      <c r="L183" s="4"/>
      <c r="M183" s="3"/>
    </row>
    <row r="184" spans="1:13" s="13" customFormat="1" ht="15.75" customHeight="1" x14ac:dyDescent="0.2">
      <c r="A184" s="2"/>
      <c r="B184" s="2"/>
      <c r="C184" s="2"/>
      <c r="D184" s="24"/>
      <c r="E184" s="2"/>
      <c r="F184" s="2"/>
      <c r="G184" s="5"/>
      <c r="H184" s="5"/>
      <c r="I184" s="5"/>
      <c r="J184" s="5"/>
      <c r="K184" s="4"/>
      <c r="L184" s="4"/>
      <c r="M184" s="3"/>
    </row>
    <row r="185" spans="1:13" s="13" customFormat="1" ht="15.75" customHeight="1" x14ac:dyDescent="0.2">
      <c r="A185" s="2"/>
      <c r="B185" s="2"/>
      <c r="C185" s="2"/>
      <c r="D185" s="24"/>
      <c r="E185" s="2"/>
      <c r="F185" s="2"/>
      <c r="G185" s="5"/>
      <c r="H185" s="5"/>
      <c r="I185" s="5"/>
      <c r="J185" s="5"/>
      <c r="K185" s="4"/>
      <c r="L185" s="4"/>
      <c r="M185" s="3"/>
    </row>
    <row r="186" spans="1:13" s="13" customFormat="1" ht="15.75" customHeight="1" x14ac:dyDescent="0.2">
      <c r="A186" s="2"/>
      <c r="B186" s="2"/>
      <c r="C186" s="2"/>
      <c r="D186" s="24"/>
      <c r="E186" s="2"/>
      <c r="F186" s="2"/>
      <c r="G186" s="5"/>
      <c r="H186" s="5"/>
      <c r="I186" s="5"/>
      <c r="J186" s="5"/>
      <c r="K186" s="4"/>
      <c r="L186" s="4"/>
      <c r="M186" s="3"/>
    </row>
    <row r="187" spans="1:13" s="13" customFormat="1" ht="15.75" customHeight="1" x14ac:dyDescent="0.2">
      <c r="A187" s="2"/>
      <c r="B187" s="2"/>
      <c r="C187" s="2"/>
      <c r="D187" s="24"/>
      <c r="E187" s="2"/>
      <c r="F187" s="2"/>
      <c r="G187" s="5"/>
      <c r="H187" s="5"/>
      <c r="I187" s="5"/>
      <c r="J187" s="5"/>
      <c r="K187" s="4"/>
      <c r="L187" s="4"/>
      <c r="M187" s="3"/>
    </row>
    <row r="188" spans="1:13" s="13" customFormat="1" ht="15.75" customHeight="1" x14ac:dyDescent="0.2">
      <c r="A188" s="2"/>
      <c r="B188" s="2"/>
      <c r="C188" s="2"/>
      <c r="D188" s="24"/>
      <c r="E188" s="2"/>
      <c r="F188" s="2"/>
      <c r="G188" s="5"/>
      <c r="H188" s="5"/>
      <c r="I188" s="5"/>
      <c r="J188" s="5"/>
      <c r="K188" s="4"/>
      <c r="L188" s="4"/>
      <c r="M188" s="3"/>
    </row>
    <row r="189" spans="1:13" s="13" customFormat="1" ht="15.75" customHeight="1" x14ac:dyDescent="0.2">
      <c r="A189" s="2"/>
      <c r="B189" s="2"/>
      <c r="C189" s="2"/>
      <c r="D189" s="24"/>
      <c r="E189" s="2"/>
      <c r="F189" s="2"/>
      <c r="G189" s="5"/>
      <c r="H189" s="5"/>
      <c r="I189" s="5"/>
      <c r="J189" s="5"/>
      <c r="K189" s="4"/>
      <c r="L189" s="4"/>
      <c r="M189" s="3"/>
    </row>
    <row r="190" spans="1:13" s="13" customFormat="1" ht="15.75" customHeight="1" x14ac:dyDescent="0.2">
      <c r="A190" s="2"/>
      <c r="B190" s="2"/>
      <c r="C190" s="2"/>
      <c r="D190" s="24"/>
      <c r="E190" s="2"/>
      <c r="F190" s="2"/>
      <c r="G190" s="5"/>
      <c r="H190" s="5"/>
      <c r="I190" s="5"/>
      <c r="J190" s="5"/>
      <c r="K190" s="4"/>
      <c r="L190" s="4"/>
      <c r="M190" s="3"/>
    </row>
    <row r="191" spans="1:13" s="13" customFormat="1" ht="15.75" customHeight="1" x14ac:dyDescent="0.2">
      <c r="A191" s="2"/>
      <c r="B191" s="2"/>
      <c r="C191" s="2"/>
      <c r="D191" s="24"/>
      <c r="E191" s="2"/>
      <c r="F191" s="2"/>
      <c r="G191" s="5"/>
      <c r="H191" s="5"/>
      <c r="I191" s="5"/>
      <c r="J191" s="5"/>
      <c r="K191" s="4"/>
      <c r="L191" s="4"/>
      <c r="M191" s="3"/>
    </row>
    <row r="192" spans="1:13" s="13" customFormat="1" ht="15.75" customHeight="1" x14ac:dyDescent="0.2">
      <c r="A192" s="2"/>
      <c r="B192" s="2"/>
      <c r="C192" s="2"/>
      <c r="D192" s="24"/>
      <c r="E192" s="2"/>
      <c r="F192" s="2"/>
      <c r="G192" s="5"/>
      <c r="H192" s="5"/>
      <c r="I192" s="5"/>
      <c r="J192" s="5"/>
      <c r="K192" s="4"/>
      <c r="L192" s="4"/>
      <c r="M192" s="3"/>
    </row>
    <row r="193" spans="1:13" s="13" customFormat="1" ht="15.75" customHeight="1" x14ac:dyDescent="0.2">
      <c r="A193" s="2"/>
      <c r="B193" s="2"/>
      <c r="C193" s="2"/>
      <c r="D193" s="24"/>
      <c r="E193" s="2"/>
      <c r="F193" s="2"/>
      <c r="G193" s="5"/>
      <c r="H193" s="5"/>
      <c r="I193" s="5"/>
      <c r="J193" s="5"/>
      <c r="K193" s="4"/>
      <c r="L193" s="4"/>
      <c r="M193" s="3"/>
    </row>
    <row r="194" spans="1:13" s="13" customFormat="1" ht="15.75" customHeight="1" x14ac:dyDescent="0.2">
      <c r="A194" s="2"/>
      <c r="B194" s="2"/>
      <c r="C194" s="2"/>
      <c r="D194" s="24"/>
      <c r="E194" s="2"/>
      <c r="F194" s="2"/>
      <c r="G194" s="5"/>
      <c r="H194" s="5"/>
      <c r="I194" s="5"/>
      <c r="J194" s="5"/>
      <c r="K194" s="4"/>
      <c r="L194" s="4"/>
      <c r="M194" s="3"/>
    </row>
    <row r="195" spans="1:13" s="13" customFormat="1" ht="15.75" customHeight="1" x14ac:dyDescent="0.2">
      <c r="A195" s="2"/>
      <c r="B195" s="2"/>
      <c r="C195" s="2"/>
      <c r="D195" s="24"/>
      <c r="E195" s="2"/>
      <c r="F195" s="2"/>
      <c r="G195" s="5"/>
      <c r="H195" s="5"/>
      <c r="I195" s="5"/>
      <c r="J195" s="5"/>
      <c r="K195" s="4"/>
      <c r="L195" s="4"/>
      <c r="M195" s="3"/>
    </row>
    <row r="196" spans="1:13" s="13" customFormat="1" ht="15.75" customHeight="1" x14ac:dyDescent="0.2">
      <c r="A196" s="2"/>
      <c r="B196" s="2"/>
      <c r="C196" s="2"/>
      <c r="D196" s="24"/>
      <c r="E196" s="2"/>
      <c r="F196" s="2"/>
      <c r="G196" s="5"/>
      <c r="H196" s="5"/>
      <c r="I196" s="5"/>
      <c r="J196" s="5"/>
      <c r="K196" s="4"/>
      <c r="L196" s="4"/>
      <c r="M196" s="3"/>
    </row>
    <row r="197" spans="1:13" s="13" customFormat="1" ht="15.75" customHeight="1" x14ac:dyDescent="0.2">
      <c r="A197" s="2"/>
      <c r="B197" s="2"/>
      <c r="C197" s="2"/>
      <c r="D197" s="24"/>
      <c r="E197" s="2"/>
      <c r="F197" s="2"/>
      <c r="G197" s="5"/>
      <c r="H197" s="5"/>
      <c r="I197" s="5"/>
      <c r="J197" s="5"/>
      <c r="K197" s="4"/>
      <c r="L197" s="4"/>
      <c r="M197" s="3"/>
    </row>
    <row r="198" spans="1:13" s="13" customFormat="1" ht="15.75" customHeight="1" x14ac:dyDescent="0.2">
      <c r="A198" s="2"/>
      <c r="B198" s="2"/>
      <c r="C198" s="2"/>
      <c r="D198" s="24"/>
      <c r="E198" s="2"/>
      <c r="F198" s="2"/>
      <c r="G198" s="5"/>
      <c r="H198" s="5"/>
      <c r="I198" s="5"/>
      <c r="J198" s="5"/>
      <c r="K198" s="4"/>
      <c r="L198" s="4"/>
      <c r="M198" s="3"/>
    </row>
    <row r="199" spans="1:13" s="13" customFormat="1" ht="15.75" customHeight="1" x14ac:dyDescent="0.2">
      <c r="A199" s="2"/>
      <c r="B199" s="2"/>
      <c r="C199" s="2"/>
      <c r="D199" s="24"/>
      <c r="E199" s="2"/>
      <c r="F199" s="2"/>
      <c r="G199" s="5"/>
      <c r="H199" s="5"/>
      <c r="I199" s="5"/>
      <c r="J199" s="5"/>
      <c r="K199" s="4"/>
      <c r="L199" s="4"/>
      <c r="M199" s="3"/>
    </row>
    <row r="200" spans="1:13" s="13" customFormat="1" ht="15.75" customHeight="1" x14ac:dyDescent="0.2">
      <c r="A200" s="2"/>
      <c r="B200" s="2"/>
      <c r="C200" s="2"/>
      <c r="D200" s="24"/>
      <c r="E200" s="2"/>
      <c r="F200" s="2"/>
      <c r="G200" s="5"/>
      <c r="H200" s="5"/>
      <c r="I200" s="5"/>
      <c r="J200" s="5"/>
      <c r="K200" s="4"/>
      <c r="L200" s="4"/>
      <c r="M200" s="3"/>
    </row>
    <row r="201" spans="1:13" s="13" customFormat="1" ht="15.75" customHeight="1" x14ac:dyDescent="0.2">
      <c r="A201" s="2"/>
      <c r="B201" s="2"/>
      <c r="C201" s="2"/>
      <c r="D201" s="24"/>
      <c r="E201" s="2"/>
      <c r="F201" s="2"/>
      <c r="G201" s="5"/>
      <c r="H201" s="5"/>
      <c r="I201" s="5"/>
      <c r="J201" s="5"/>
      <c r="K201" s="4"/>
      <c r="L201" s="4"/>
      <c r="M201" s="3"/>
    </row>
    <row r="202" spans="1:13" s="13" customFormat="1" ht="15.75" customHeight="1" x14ac:dyDescent="0.2">
      <c r="A202" s="2"/>
      <c r="B202" s="2"/>
      <c r="C202" s="2"/>
      <c r="D202" s="24"/>
      <c r="E202" s="2"/>
      <c r="F202" s="2"/>
      <c r="G202" s="5"/>
      <c r="H202" s="5"/>
      <c r="I202" s="5"/>
      <c r="J202" s="5"/>
      <c r="K202" s="4"/>
      <c r="L202" s="4"/>
      <c r="M202" s="3"/>
    </row>
    <row r="203" spans="1:13" s="13" customFormat="1" ht="15.75" customHeight="1" x14ac:dyDescent="0.2">
      <c r="A203" s="2"/>
      <c r="B203" s="2"/>
      <c r="C203" s="2"/>
      <c r="D203" s="24"/>
      <c r="E203" s="2"/>
      <c r="F203" s="2"/>
      <c r="G203" s="5"/>
      <c r="H203" s="5"/>
      <c r="I203" s="5"/>
      <c r="J203" s="5"/>
      <c r="K203" s="4"/>
      <c r="L203" s="4"/>
      <c r="M203" s="3"/>
    </row>
    <row r="204" spans="1:13" s="13" customFormat="1" ht="15.75" customHeight="1" x14ac:dyDescent="0.2">
      <c r="A204" s="2"/>
      <c r="B204" s="2"/>
      <c r="C204" s="2"/>
      <c r="D204" s="24"/>
      <c r="E204" s="2"/>
      <c r="F204" s="2"/>
      <c r="G204" s="5"/>
      <c r="H204" s="5"/>
      <c r="I204" s="5"/>
      <c r="J204" s="5"/>
      <c r="K204" s="4"/>
      <c r="L204" s="4"/>
      <c r="M204" s="3"/>
    </row>
    <row r="205" spans="1:13" s="13" customFormat="1" ht="15.75" customHeight="1" x14ac:dyDescent="0.2">
      <c r="A205" s="2"/>
      <c r="B205" s="2"/>
      <c r="C205" s="2"/>
      <c r="D205" s="24"/>
      <c r="E205" s="2"/>
      <c r="F205" s="2"/>
      <c r="G205" s="5"/>
      <c r="H205" s="5"/>
      <c r="I205" s="5"/>
      <c r="J205" s="5"/>
      <c r="K205" s="4"/>
      <c r="L205" s="4"/>
      <c r="M205" s="3"/>
    </row>
    <row r="206" spans="1:13" s="13" customFormat="1" ht="15.75" customHeight="1" x14ac:dyDescent="0.2">
      <c r="A206" s="2"/>
      <c r="B206" s="2"/>
      <c r="C206" s="2"/>
      <c r="D206" s="24"/>
      <c r="E206" s="2"/>
      <c r="F206" s="2"/>
      <c r="G206" s="5"/>
      <c r="H206" s="5"/>
      <c r="I206" s="5"/>
      <c r="J206" s="5"/>
      <c r="K206" s="4"/>
      <c r="L206" s="4"/>
      <c r="M206" s="3"/>
    </row>
    <row r="207" spans="1:13" s="13" customFormat="1" ht="15.75" customHeight="1" x14ac:dyDescent="0.2">
      <c r="A207" s="2"/>
      <c r="B207" s="2"/>
      <c r="C207" s="2"/>
      <c r="D207" s="24"/>
      <c r="E207" s="2"/>
      <c r="F207" s="2"/>
      <c r="G207" s="5"/>
      <c r="H207" s="5"/>
      <c r="I207" s="5"/>
      <c r="J207" s="5"/>
      <c r="K207" s="4"/>
      <c r="L207" s="4"/>
      <c r="M207" s="3"/>
    </row>
    <row r="208" spans="1:13" s="13" customFormat="1" ht="15.75" customHeight="1" x14ac:dyDescent="0.2">
      <c r="A208" s="2"/>
      <c r="B208" s="2"/>
      <c r="C208" s="2"/>
      <c r="D208" s="24"/>
      <c r="E208" s="2"/>
      <c r="F208" s="2"/>
      <c r="G208" s="5"/>
      <c r="H208" s="5"/>
      <c r="I208" s="5"/>
      <c r="J208" s="5"/>
      <c r="K208" s="4"/>
      <c r="L208" s="4"/>
      <c r="M208" s="3"/>
    </row>
    <row r="209" spans="1:13" s="13" customFormat="1" ht="15.75" customHeight="1" x14ac:dyDescent="0.2">
      <c r="A209" s="2"/>
      <c r="B209" s="2"/>
      <c r="C209" s="2"/>
      <c r="D209" s="24"/>
      <c r="E209" s="2"/>
      <c r="F209" s="2"/>
      <c r="G209" s="5"/>
      <c r="H209" s="5"/>
      <c r="I209" s="5"/>
      <c r="J209" s="5"/>
      <c r="K209" s="4"/>
      <c r="L209" s="4"/>
      <c r="M209" s="3"/>
    </row>
    <row r="210" spans="1:13" s="13" customFormat="1" ht="15.75" customHeight="1" x14ac:dyDescent="0.2">
      <c r="A210" s="2"/>
      <c r="B210" s="2"/>
      <c r="C210" s="2"/>
      <c r="D210" s="24"/>
      <c r="E210" s="2"/>
      <c r="F210" s="2"/>
      <c r="G210" s="5"/>
      <c r="H210" s="5"/>
      <c r="I210" s="5"/>
      <c r="J210" s="5"/>
      <c r="K210" s="4"/>
      <c r="L210" s="4"/>
      <c r="M210" s="3"/>
    </row>
    <row r="211" spans="1:13" s="13" customFormat="1" ht="15.75" customHeight="1" x14ac:dyDescent="0.2">
      <c r="A211" s="2"/>
      <c r="B211" s="2"/>
      <c r="C211" s="2"/>
      <c r="D211" s="24"/>
      <c r="E211" s="2"/>
      <c r="F211" s="2"/>
      <c r="G211" s="5"/>
      <c r="H211" s="5"/>
      <c r="I211" s="5"/>
      <c r="J211" s="5"/>
      <c r="K211" s="4"/>
      <c r="L211" s="4"/>
      <c r="M211" s="3"/>
    </row>
    <row r="212" spans="1:13" s="13" customFormat="1" ht="15.75" customHeight="1" x14ac:dyDescent="0.2">
      <c r="A212" s="2"/>
      <c r="B212" s="2"/>
      <c r="C212" s="2"/>
      <c r="D212" s="24"/>
      <c r="E212" s="2"/>
      <c r="F212" s="2"/>
      <c r="G212" s="5"/>
      <c r="H212" s="5"/>
      <c r="I212" s="5"/>
      <c r="J212" s="5"/>
      <c r="K212" s="4"/>
      <c r="L212" s="4"/>
      <c r="M212" s="3"/>
    </row>
    <row r="213" spans="1:13" s="13" customFormat="1" ht="15.75" customHeight="1" x14ac:dyDescent="0.2">
      <c r="A213" s="2"/>
      <c r="B213" s="2"/>
      <c r="C213" s="2"/>
      <c r="D213" s="24"/>
      <c r="E213" s="2"/>
      <c r="F213" s="2"/>
      <c r="G213" s="5"/>
      <c r="H213" s="5"/>
      <c r="I213" s="5"/>
      <c r="J213" s="5"/>
      <c r="K213" s="4"/>
      <c r="L213" s="4"/>
      <c r="M213" s="3"/>
    </row>
    <row r="214" spans="1:13" s="13" customFormat="1" ht="15.75" customHeight="1" x14ac:dyDescent="0.2">
      <c r="A214" s="2"/>
      <c r="B214" s="2"/>
      <c r="C214" s="2"/>
      <c r="D214" s="24"/>
      <c r="E214" s="2"/>
      <c r="F214" s="2"/>
      <c r="G214" s="5"/>
      <c r="H214" s="5"/>
      <c r="I214" s="5"/>
      <c r="J214" s="5"/>
      <c r="K214" s="4"/>
      <c r="L214" s="4"/>
      <c r="M214" s="3"/>
    </row>
    <row r="215" spans="1:13" s="13" customFormat="1" ht="15.75" customHeight="1" x14ac:dyDescent="0.2">
      <c r="A215" s="2"/>
      <c r="B215" s="2"/>
      <c r="C215" s="2"/>
      <c r="D215" s="24"/>
      <c r="E215" s="2"/>
      <c r="F215" s="2"/>
      <c r="G215" s="5"/>
      <c r="H215" s="5"/>
      <c r="I215" s="5"/>
      <c r="J215" s="5"/>
      <c r="K215" s="4"/>
      <c r="L215" s="4"/>
      <c r="M215" s="3"/>
    </row>
    <row r="216" spans="1:13" s="13" customFormat="1" ht="15.75" customHeight="1" x14ac:dyDescent="0.2">
      <c r="A216" s="2"/>
      <c r="B216" s="2"/>
      <c r="C216" s="2"/>
      <c r="D216" s="24"/>
      <c r="E216" s="2"/>
      <c r="F216" s="2"/>
      <c r="G216" s="5"/>
      <c r="H216" s="5"/>
      <c r="I216" s="5"/>
      <c r="J216" s="5"/>
      <c r="K216" s="4"/>
      <c r="L216" s="4"/>
      <c r="M216" s="3"/>
    </row>
    <row r="217" spans="1:13" s="13" customFormat="1" ht="15.75" customHeight="1" x14ac:dyDescent="0.2">
      <c r="A217" s="2"/>
      <c r="B217" s="2"/>
      <c r="C217" s="2"/>
      <c r="D217" s="24"/>
      <c r="E217" s="2"/>
      <c r="F217" s="2"/>
      <c r="G217" s="5"/>
      <c r="H217" s="5"/>
      <c r="I217" s="5"/>
      <c r="J217" s="5"/>
      <c r="K217" s="4"/>
      <c r="L217" s="4"/>
      <c r="M217" s="3"/>
    </row>
    <row r="218" spans="1:13" s="13" customFormat="1" ht="15.75" customHeight="1" x14ac:dyDescent="0.2">
      <c r="A218" s="2"/>
      <c r="B218" s="2"/>
      <c r="C218" s="2"/>
      <c r="D218" s="24"/>
      <c r="E218" s="2"/>
      <c r="F218" s="2"/>
      <c r="G218" s="5"/>
      <c r="H218" s="5"/>
      <c r="I218" s="5"/>
      <c r="J218" s="5"/>
      <c r="K218" s="4"/>
      <c r="L218" s="4"/>
      <c r="M218" s="3"/>
    </row>
    <row r="219" spans="1:13" s="13" customFormat="1" ht="15.75" customHeight="1" x14ac:dyDescent="0.2">
      <c r="A219" s="2"/>
      <c r="B219" s="2"/>
      <c r="C219" s="2"/>
      <c r="D219" s="24"/>
      <c r="E219" s="2"/>
      <c r="F219" s="2"/>
      <c r="G219" s="5"/>
      <c r="H219" s="5"/>
      <c r="I219" s="5"/>
      <c r="J219" s="5"/>
      <c r="K219" s="4"/>
      <c r="L219" s="4"/>
      <c r="M219" s="3"/>
    </row>
    <row r="220" spans="1:13" s="13" customFormat="1" ht="15.75" customHeight="1" x14ac:dyDescent="0.2">
      <c r="A220" s="2"/>
      <c r="B220" s="2"/>
      <c r="C220" s="2"/>
      <c r="D220" s="24"/>
      <c r="E220" s="2"/>
      <c r="F220" s="2"/>
      <c r="G220" s="5"/>
      <c r="H220" s="5"/>
      <c r="I220" s="5"/>
      <c r="J220" s="5"/>
      <c r="K220" s="4"/>
      <c r="L220" s="4"/>
      <c r="M220" s="3"/>
    </row>
    <row r="221" spans="1:13" s="13" customFormat="1" ht="15.75" customHeight="1" x14ac:dyDescent="0.2">
      <c r="A221" s="2"/>
      <c r="B221" s="2"/>
      <c r="C221" s="2"/>
      <c r="D221" s="24"/>
      <c r="E221" s="2"/>
      <c r="F221" s="2"/>
      <c r="G221" s="5"/>
      <c r="H221" s="5"/>
      <c r="I221" s="5"/>
      <c r="J221" s="5"/>
      <c r="K221" s="4"/>
      <c r="L221" s="4"/>
      <c r="M221" s="3"/>
    </row>
    <row r="222" spans="1:13" s="13" customFormat="1" ht="15.75" customHeight="1" x14ac:dyDescent="0.2">
      <c r="A222" s="2"/>
      <c r="B222" s="2"/>
      <c r="C222" s="2"/>
      <c r="D222" s="24"/>
      <c r="E222" s="2"/>
      <c r="F222" s="2"/>
      <c r="G222" s="5"/>
      <c r="H222" s="5"/>
      <c r="I222" s="5"/>
      <c r="J222" s="5"/>
      <c r="K222" s="4"/>
      <c r="L222" s="4"/>
      <c r="M222" s="3"/>
    </row>
    <row r="223" spans="1:13" s="13" customFormat="1" ht="15.75" customHeight="1" x14ac:dyDescent="0.2">
      <c r="A223" s="2"/>
      <c r="B223" s="2"/>
      <c r="C223" s="2"/>
      <c r="D223" s="24"/>
      <c r="E223" s="2"/>
      <c r="F223" s="2"/>
      <c r="G223" s="5"/>
      <c r="H223" s="5"/>
      <c r="I223" s="5"/>
      <c r="J223" s="5"/>
      <c r="K223" s="4"/>
      <c r="L223" s="4"/>
      <c r="M223" s="3"/>
    </row>
    <row r="224" spans="1:13" s="13" customFormat="1" ht="15.75" customHeight="1" x14ac:dyDescent="0.2">
      <c r="A224" s="2"/>
      <c r="B224" s="2"/>
      <c r="C224" s="2"/>
      <c r="D224" s="24"/>
      <c r="E224" s="2"/>
      <c r="F224" s="2"/>
      <c r="G224" s="5"/>
      <c r="H224" s="5"/>
      <c r="I224" s="5"/>
      <c r="J224" s="5"/>
      <c r="K224" s="4"/>
      <c r="L224" s="4"/>
      <c r="M224" s="3"/>
    </row>
    <row r="225" spans="1:13" s="13" customFormat="1" ht="15.75" customHeight="1" x14ac:dyDescent="0.2">
      <c r="A225" s="2"/>
      <c r="B225" s="2"/>
      <c r="C225" s="2"/>
      <c r="D225" s="24"/>
      <c r="E225" s="2"/>
      <c r="F225" s="2"/>
      <c r="G225" s="5"/>
      <c r="H225" s="5"/>
      <c r="I225" s="5"/>
      <c r="J225" s="5"/>
      <c r="K225" s="4"/>
      <c r="L225" s="4"/>
      <c r="M225" s="3"/>
    </row>
    <row r="226" spans="1:13" s="13" customFormat="1" ht="15.75" customHeight="1" x14ac:dyDescent="0.2">
      <c r="A226" s="2"/>
      <c r="B226" s="2"/>
      <c r="C226" s="2"/>
      <c r="D226" s="24"/>
      <c r="E226" s="2"/>
      <c r="F226" s="2"/>
      <c r="G226" s="5"/>
      <c r="H226" s="5"/>
      <c r="I226" s="5"/>
      <c r="J226" s="5"/>
      <c r="K226" s="4"/>
      <c r="L226" s="4"/>
      <c r="M226" s="3"/>
    </row>
    <row r="227" spans="1:13" s="13" customFormat="1" ht="15.75" customHeight="1" x14ac:dyDescent="0.2">
      <c r="A227" s="2"/>
      <c r="B227" s="2"/>
      <c r="C227" s="2"/>
      <c r="D227" s="24"/>
      <c r="E227" s="2"/>
      <c r="F227" s="2"/>
      <c r="G227" s="5"/>
      <c r="H227" s="5"/>
      <c r="I227" s="5"/>
      <c r="J227" s="5"/>
      <c r="K227" s="4"/>
      <c r="L227" s="4"/>
      <c r="M227" s="3"/>
    </row>
    <row r="228" spans="1:13" s="13" customFormat="1" ht="15.75" customHeight="1" x14ac:dyDescent="0.2">
      <c r="A228" s="2"/>
      <c r="B228" s="2"/>
      <c r="C228" s="2"/>
      <c r="D228" s="24"/>
      <c r="E228" s="2"/>
      <c r="F228" s="2"/>
      <c r="G228" s="5"/>
      <c r="H228" s="5"/>
      <c r="I228" s="5"/>
      <c r="J228" s="5"/>
      <c r="K228" s="4"/>
      <c r="L228" s="4"/>
      <c r="M228" s="3"/>
    </row>
    <row r="229" spans="1:13" s="13" customFormat="1" ht="15.75" customHeight="1" x14ac:dyDescent="0.2">
      <c r="A229" s="2"/>
      <c r="B229" s="2"/>
      <c r="C229" s="2"/>
      <c r="D229" s="24"/>
      <c r="E229" s="2"/>
      <c r="F229" s="2"/>
      <c r="G229" s="5"/>
      <c r="H229" s="5"/>
      <c r="I229" s="5"/>
      <c r="J229" s="5"/>
      <c r="K229" s="4"/>
      <c r="L229" s="4"/>
      <c r="M229" s="3"/>
    </row>
    <row r="230" spans="1:13" s="13" customFormat="1" ht="15.75" customHeight="1" x14ac:dyDescent="0.2">
      <c r="A230" s="2"/>
      <c r="B230" s="2"/>
      <c r="C230" s="2"/>
      <c r="D230" s="24"/>
      <c r="E230" s="2"/>
      <c r="F230" s="2"/>
      <c r="G230" s="5"/>
      <c r="H230" s="5"/>
      <c r="I230" s="5"/>
      <c r="J230" s="5"/>
      <c r="K230" s="4"/>
      <c r="L230" s="4"/>
      <c r="M230" s="3"/>
    </row>
    <row r="231" spans="1:13" s="13" customFormat="1" ht="15.75" customHeight="1" x14ac:dyDescent="0.2">
      <c r="A231" s="2"/>
      <c r="B231" s="2"/>
      <c r="C231" s="2"/>
      <c r="D231" s="24"/>
      <c r="E231" s="2"/>
      <c r="F231" s="2"/>
      <c r="G231" s="5"/>
      <c r="H231" s="5"/>
      <c r="I231" s="5"/>
      <c r="J231" s="5"/>
      <c r="K231" s="4"/>
      <c r="L231" s="4"/>
      <c r="M231" s="3"/>
    </row>
    <row r="232" spans="1:13" s="13" customFormat="1" ht="15.75" customHeight="1" x14ac:dyDescent="0.2">
      <c r="A232" s="2"/>
      <c r="B232" s="2"/>
      <c r="C232" s="2"/>
      <c r="D232" s="24"/>
      <c r="E232" s="2"/>
      <c r="F232" s="2"/>
      <c r="G232" s="5"/>
      <c r="H232" s="5"/>
      <c r="I232" s="5"/>
      <c r="J232" s="5"/>
      <c r="K232" s="4"/>
      <c r="L232" s="4"/>
      <c r="M232" s="3"/>
    </row>
    <row r="233" spans="1:13" s="13" customFormat="1" ht="15.75" customHeight="1" x14ac:dyDescent="0.2">
      <c r="A233" s="2"/>
      <c r="B233" s="2"/>
      <c r="C233" s="2"/>
      <c r="D233" s="24"/>
      <c r="E233" s="2"/>
      <c r="F233" s="2"/>
      <c r="G233" s="5"/>
      <c r="H233" s="5"/>
      <c r="I233" s="5"/>
      <c r="J233" s="5"/>
      <c r="K233" s="4"/>
      <c r="L233" s="4"/>
      <c r="M233" s="3"/>
    </row>
    <row r="234" spans="1:13" s="13" customFormat="1" ht="15.75" customHeight="1" x14ac:dyDescent="0.2">
      <c r="A234" s="2"/>
      <c r="B234" s="2"/>
      <c r="C234" s="2"/>
      <c r="D234" s="24"/>
      <c r="E234" s="2"/>
      <c r="F234" s="2"/>
      <c r="G234" s="5"/>
      <c r="H234" s="5"/>
      <c r="I234" s="5"/>
      <c r="J234" s="5"/>
      <c r="K234" s="4"/>
      <c r="L234" s="4"/>
      <c r="M234" s="3"/>
    </row>
    <row r="235" spans="1:13" s="13" customFormat="1" ht="15.75" customHeight="1" x14ac:dyDescent="0.2">
      <c r="A235" s="2"/>
      <c r="B235" s="2"/>
      <c r="C235" s="2"/>
      <c r="D235" s="24"/>
      <c r="E235" s="2"/>
      <c r="F235" s="2"/>
      <c r="G235" s="5"/>
      <c r="H235" s="5"/>
      <c r="I235" s="5"/>
      <c r="J235" s="5"/>
      <c r="K235" s="4"/>
      <c r="L235" s="4"/>
      <c r="M235" s="3"/>
    </row>
    <row r="236" spans="1:13" s="13" customFormat="1" ht="15.75" customHeight="1" x14ac:dyDescent="0.2">
      <c r="A236" s="2"/>
      <c r="B236" s="2"/>
      <c r="C236" s="2"/>
      <c r="D236" s="24"/>
      <c r="E236" s="2"/>
      <c r="F236" s="2"/>
      <c r="G236" s="5"/>
      <c r="H236" s="5"/>
      <c r="I236" s="5"/>
      <c r="J236" s="5"/>
      <c r="K236" s="4"/>
      <c r="L236" s="4"/>
      <c r="M236" s="3"/>
    </row>
    <row r="237" spans="1:13" s="13" customFormat="1" ht="15.75" customHeight="1" x14ac:dyDescent="0.2">
      <c r="A237" s="2"/>
      <c r="B237" s="2"/>
      <c r="C237" s="2"/>
      <c r="D237" s="24"/>
      <c r="E237" s="2"/>
      <c r="F237" s="2"/>
      <c r="G237" s="5"/>
      <c r="H237" s="5"/>
      <c r="I237" s="5"/>
      <c r="J237" s="5"/>
      <c r="K237" s="4"/>
      <c r="L237" s="4"/>
      <c r="M237" s="3"/>
    </row>
    <row r="238" spans="1:13" s="13" customFormat="1" ht="15.75" customHeight="1" x14ac:dyDescent="0.2">
      <c r="A238" s="2"/>
      <c r="B238" s="2"/>
      <c r="C238" s="2"/>
      <c r="D238" s="24"/>
      <c r="E238" s="2"/>
      <c r="F238" s="2"/>
      <c r="G238" s="5"/>
      <c r="H238" s="5"/>
      <c r="I238" s="5"/>
      <c r="J238" s="5"/>
      <c r="K238" s="4"/>
      <c r="L238" s="4"/>
      <c r="M238" s="3"/>
    </row>
    <row r="239" spans="1:13" s="13" customFormat="1" ht="15.75" customHeight="1" x14ac:dyDescent="0.2">
      <c r="A239" s="2"/>
      <c r="B239" s="2"/>
      <c r="C239" s="2"/>
      <c r="D239" s="24"/>
      <c r="E239" s="2"/>
      <c r="F239" s="2"/>
      <c r="G239" s="5"/>
      <c r="H239" s="5"/>
      <c r="I239" s="5"/>
      <c r="J239" s="5"/>
      <c r="K239" s="4"/>
      <c r="L239" s="4"/>
      <c r="M239" s="3"/>
    </row>
    <row r="240" spans="1:13" s="13" customFormat="1" ht="15.75" customHeight="1" x14ac:dyDescent="0.2">
      <c r="A240" s="2"/>
      <c r="B240" s="2"/>
      <c r="C240" s="2"/>
      <c r="D240" s="24"/>
      <c r="E240" s="2"/>
      <c r="F240" s="2"/>
      <c r="G240" s="5"/>
      <c r="H240" s="5"/>
      <c r="I240" s="5"/>
      <c r="J240" s="5"/>
      <c r="K240" s="4"/>
      <c r="L240" s="4"/>
      <c r="M240" s="3"/>
    </row>
    <row r="241" spans="1:13" s="13" customFormat="1" ht="15.75" customHeight="1" x14ac:dyDescent="0.2">
      <c r="A241" s="2"/>
      <c r="B241" s="2"/>
      <c r="C241" s="2"/>
      <c r="D241" s="24"/>
      <c r="E241" s="2"/>
      <c r="F241" s="2"/>
      <c r="G241" s="5"/>
      <c r="H241" s="5"/>
      <c r="I241" s="5"/>
      <c r="J241" s="5"/>
      <c r="K241" s="4"/>
      <c r="L241" s="4"/>
      <c r="M241" s="3"/>
    </row>
    <row r="242" spans="1:13" s="13" customFormat="1" ht="15.75" customHeight="1" x14ac:dyDescent="0.2">
      <c r="A242" s="2"/>
      <c r="B242" s="2"/>
      <c r="C242" s="2"/>
      <c r="D242" s="24"/>
      <c r="E242" s="2"/>
      <c r="F242" s="2"/>
      <c r="G242" s="5"/>
      <c r="H242" s="5"/>
      <c r="I242" s="5"/>
      <c r="J242" s="5"/>
      <c r="K242" s="4"/>
      <c r="L242" s="4"/>
      <c r="M242" s="3"/>
    </row>
    <row r="243" spans="1:13" s="13" customFormat="1" ht="15.75" customHeight="1" x14ac:dyDescent="0.2">
      <c r="A243" s="2"/>
      <c r="B243" s="2"/>
      <c r="C243" s="2"/>
      <c r="D243" s="24"/>
      <c r="E243" s="2"/>
      <c r="F243" s="2"/>
      <c r="G243" s="5"/>
      <c r="H243" s="5"/>
      <c r="I243" s="5"/>
      <c r="J243" s="5"/>
      <c r="K243" s="4"/>
      <c r="L243" s="4"/>
      <c r="M243" s="3"/>
    </row>
    <row r="244" spans="1:13" s="13" customFormat="1" ht="15.75" customHeight="1" x14ac:dyDescent="0.2">
      <c r="A244" s="2"/>
      <c r="B244" s="2"/>
      <c r="C244" s="2"/>
      <c r="D244" s="24"/>
      <c r="E244" s="2"/>
      <c r="F244" s="2"/>
      <c r="G244" s="5"/>
      <c r="H244" s="5"/>
      <c r="I244" s="5"/>
      <c r="J244" s="5"/>
      <c r="K244" s="4"/>
      <c r="L244" s="4"/>
      <c r="M244" s="3"/>
    </row>
    <row r="245" spans="1:13" s="13" customFormat="1" ht="15.75" customHeight="1" x14ac:dyDescent="0.2">
      <c r="A245" s="2"/>
      <c r="B245" s="2"/>
      <c r="C245" s="2"/>
      <c r="D245" s="24"/>
      <c r="E245" s="2"/>
      <c r="F245" s="2"/>
      <c r="G245" s="5"/>
      <c r="H245" s="5"/>
      <c r="I245" s="5"/>
      <c r="J245" s="5"/>
      <c r="K245" s="4"/>
      <c r="L245" s="4"/>
      <c r="M245" s="3"/>
    </row>
    <row r="246" spans="1:13" s="13" customFormat="1" ht="15.75" customHeight="1" x14ac:dyDescent="0.2">
      <c r="A246" s="2"/>
      <c r="B246" s="2"/>
      <c r="C246" s="2"/>
      <c r="D246" s="24"/>
      <c r="E246" s="2"/>
      <c r="F246" s="2"/>
      <c r="G246" s="5"/>
      <c r="H246" s="5"/>
      <c r="I246" s="5"/>
      <c r="J246" s="5"/>
      <c r="K246" s="4"/>
      <c r="L246" s="4"/>
      <c r="M246" s="3"/>
    </row>
    <row r="247" spans="1:13" s="13" customFormat="1" ht="15.75" customHeight="1" x14ac:dyDescent="0.2">
      <c r="A247" s="2"/>
      <c r="B247" s="2"/>
      <c r="C247" s="2"/>
      <c r="D247" s="24"/>
      <c r="E247" s="2"/>
      <c r="F247" s="2"/>
      <c r="G247" s="5"/>
      <c r="H247" s="5"/>
      <c r="I247" s="5"/>
      <c r="J247" s="5"/>
      <c r="K247" s="4"/>
      <c r="L247" s="4"/>
      <c r="M247" s="3"/>
    </row>
    <row r="248" spans="1:13" s="13" customFormat="1" ht="16.5" customHeight="1" x14ac:dyDescent="0.2">
      <c r="A248" s="2"/>
      <c r="B248" s="2"/>
      <c r="C248" s="2"/>
      <c r="D248" s="24"/>
      <c r="E248" s="2"/>
      <c r="F248" s="2"/>
      <c r="G248" s="5"/>
      <c r="H248" s="5"/>
      <c r="I248" s="5"/>
      <c r="J248" s="5"/>
      <c r="K248" s="4"/>
      <c r="L248" s="4"/>
      <c r="M248" s="3"/>
    </row>
  </sheetData>
  <mergeCells count="31">
    <mergeCell ref="F32:J32"/>
    <mergeCell ref="K32:M32"/>
    <mergeCell ref="A28:E28"/>
    <mergeCell ref="A29:E29"/>
    <mergeCell ref="A30:E30"/>
    <mergeCell ref="A31:E31"/>
    <mergeCell ref="A32:E32"/>
    <mergeCell ref="F28:J28"/>
    <mergeCell ref="K28:M28"/>
    <mergeCell ref="F29:J29"/>
    <mergeCell ref="K29:M31"/>
    <mergeCell ref="F30:J30"/>
    <mergeCell ref="F31:J31"/>
    <mergeCell ref="B6:K6"/>
    <mergeCell ref="B1:J4"/>
    <mergeCell ref="K1:M1"/>
    <mergeCell ref="K2:M2"/>
    <mergeCell ref="K3:M3"/>
    <mergeCell ref="K4:M4"/>
    <mergeCell ref="M10:M11"/>
    <mergeCell ref="B7:K7"/>
    <mergeCell ref="L7:L8"/>
    <mergeCell ref="M7:M8"/>
    <mergeCell ref="B8:C8"/>
    <mergeCell ref="E8:F8"/>
    <mergeCell ref="H8:K8"/>
    <mergeCell ref="A10:A11"/>
    <mergeCell ref="B10:B11"/>
    <mergeCell ref="A26:B26"/>
    <mergeCell ref="C10:C11"/>
    <mergeCell ref="L10:L11"/>
  </mergeCells>
  <printOptions horizontalCentered="1" verticalCentered="1"/>
  <pageMargins left="1.1811023622047245" right="0.70866141732283472" top="0.35433070866141736" bottom="0.35433070866141736" header="0" footer="0"/>
  <pageSetup paperSize="5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Ppto General</vt:lpstr>
      <vt:lpstr>Historico de Modificaciones</vt:lpstr>
      <vt:lpstr>'Historico de Modificaciones'!Área_de_impresión</vt:lpstr>
      <vt:lpstr>'Ppto General'!Área_de_impresión</vt:lpstr>
      <vt:lpstr>'Historico de Modificaciones'!Títulos_a_imprimir</vt:lpstr>
      <vt:lpstr>'Ppto General'!Títulos_a_imprimir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Gicella Ochoa Bejarano</dc:creator>
  <cp:lastModifiedBy>Ingrid Zuley Palacios Mosquera</cp:lastModifiedBy>
  <cp:lastPrinted>2025-06-17T14:35:10Z</cp:lastPrinted>
  <dcterms:created xsi:type="dcterms:W3CDTF">2021-04-27T13:14:34Z</dcterms:created>
  <dcterms:modified xsi:type="dcterms:W3CDTF">2025-06-17T14:36:24Z</dcterms:modified>
</cp:coreProperties>
</file>